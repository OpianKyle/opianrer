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65a7c070629fa66/OPIAN CAPITAL/OPIAN CAPITAL QUOTING TOOLS/"/>
    </mc:Choice>
  </mc:AlternateContent>
  <xr:revisionPtr revIDLastSave="733" documentId="8_{D672E501-19EA-406A-841D-3FECD82FAC8B}" xr6:coauthVersionLast="47" xr6:coauthVersionMax="47" xr10:uidLastSave="{242F8D6A-AEBF-4321-9736-CB4A0FED6523}"/>
  <bookViews>
    <workbookView xWindow="28680" yWindow="-120" windowWidth="29040" windowHeight="15720" tabRatio="850" activeTab="1" xr2:uid="{00000000-000D-0000-FFFF-FFFF00000000}"/>
  </bookViews>
  <sheets>
    <sheet name="Client Info" sheetId="5" r:id="rId1"/>
    <sheet name="FDN_CapAPP_1-Year" sheetId="7" r:id="rId2"/>
    <sheet name="Sheet1" sheetId="8" r:id="rId3"/>
  </sheets>
  <definedNames>
    <definedName name="_xlnm.Print_Area" localSheetId="1">'FDN_CapAPP_1-Year'!$A$1:$K$178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6" i="7" l="1"/>
  <c r="D156" i="7"/>
  <c r="F24" i="5"/>
  <c r="F18" i="5"/>
  <c r="E21" i="7"/>
  <c r="E20" i="7"/>
  <c r="E18" i="7"/>
  <c r="I50" i="7"/>
  <c r="K33" i="7" l="1"/>
  <c r="K29" i="7"/>
  <c r="K30" i="7" s="1"/>
  <c r="D141" i="7"/>
  <c r="D140" i="7"/>
  <c r="D139" i="7"/>
  <c r="D138" i="7"/>
  <c r="K38" i="7"/>
  <c r="K37" i="7"/>
  <c r="K32" i="7"/>
  <c r="K31" i="7"/>
  <c r="C24" i="7"/>
  <c r="E19" i="7" a="1"/>
  <c r="E19" i="7" s="1"/>
  <c r="E17" i="7"/>
  <c r="E16" i="7"/>
  <c r="E14" i="7"/>
  <c r="C50" i="7" l="1"/>
  <c r="J50" i="7" l="1"/>
  <c r="K50" i="7" l="1"/>
  <c r="K3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<sst xmlns="http://schemas.openxmlformats.org/spreadsheetml/2006/main" count="141" uniqueCount="139">
  <si>
    <t>CALCULATIONS TOOL</t>
  </si>
  <si>
    <t>CLIENT NUMBER:</t>
  </si>
  <si>
    <t>CLIENT NAME:</t>
  </si>
  <si>
    <t>ADDRESS:</t>
  </si>
  <si>
    <t>OFFERED TO:</t>
  </si>
  <si>
    <t>INVESTMENT AMOUNT:</t>
  </si>
  <si>
    <t>DATE OF CALCULATION:</t>
  </si>
  <si>
    <t>COMMENCEMENT DATE OF PLAN</t>
  </si>
  <si>
    <t>TERM IN YEARS</t>
  </si>
  <si>
    <t>REDEMPTION DATE</t>
  </si>
  <si>
    <t>PREPARED BY:</t>
  </si>
  <si>
    <t>Office: 0861 263 346</t>
  </si>
  <si>
    <t xml:space="preserve">Date of Offer: </t>
  </si>
  <si>
    <t>Offered to:</t>
  </si>
  <si>
    <t>Adress:</t>
  </si>
  <si>
    <t>Telephone:</t>
  </si>
  <si>
    <t>Email:</t>
  </si>
  <si>
    <t xml:space="preserve">Dear </t>
  </si>
  <si>
    <t>We take pleasure in submitting the following proposal to you:</t>
  </si>
  <si>
    <t>Investment summary</t>
  </si>
  <si>
    <t>Investment amount</t>
  </si>
  <si>
    <t>Term in years</t>
  </si>
  <si>
    <t>Commencement date</t>
  </si>
  <si>
    <t>Liquidity</t>
  </si>
  <si>
    <t>None</t>
  </si>
  <si>
    <t>Annually</t>
  </si>
  <si>
    <t>Income projections</t>
  </si>
  <si>
    <t>Year</t>
  </si>
  <si>
    <t>Taxation:</t>
  </si>
  <si>
    <t>Fees:</t>
  </si>
  <si>
    <t>Financial Advice</t>
  </si>
  <si>
    <t>Benefits payable on death</t>
  </si>
  <si>
    <t>Placement and Admin fees</t>
  </si>
  <si>
    <t>The Placement and Admin fees amount shown below are paid nett of VAT</t>
  </si>
  <si>
    <t>Placement Fees</t>
  </si>
  <si>
    <t>Placement fee</t>
  </si>
  <si>
    <t>1.00% once off</t>
  </si>
  <si>
    <t>Commission</t>
  </si>
  <si>
    <t>The Commission amount shown below are paid nett of VAT</t>
  </si>
  <si>
    <t>Offer Prepared By:</t>
  </si>
  <si>
    <t>SUBSCRIPTION FORM</t>
  </si>
  <si>
    <t xml:space="preserve">Agreement number: </t>
  </si>
  <si>
    <t>PLEASE ATTACH THE FOLLOWING SUPPORT DOCUMENTATION:</t>
  </si>
  <si>
    <t>Copy of Identity Document / Passport:</t>
  </si>
  <si>
    <t>Proof of Address:</t>
  </si>
  <si>
    <t>Bank Statement:</t>
  </si>
  <si>
    <t>Contract Start date</t>
  </si>
  <si>
    <t>Capital Value</t>
  </si>
  <si>
    <t>Taxation is not addressed in this plan. Taxation should be discussed with a tax adviser.</t>
  </si>
  <si>
    <t>Projection Scenarios</t>
  </si>
  <si>
    <t>YEARLY</t>
  </si>
  <si>
    <t>1.</t>
  </si>
  <si>
    <t>CLIENT SIGN</t>
  </si>
  <si>
    <t>Lionel Lottering</t>
  </si>
  <si>
    <t>Cell: 076 309 2590</t>
  </si>
  <si>
    <t>Email: lionell@opianfsgroup.com</t>
  </si>
  <si>
    <t>Conditions:</t>
  </si>
  <si>
    <r>
      <t>1.</t>
    </r>
    <r>
      <rPr>
        <sz val="11"/>
        <color theme="1"/>
        <rFont val="Times New Roman"/>
        <family val="1"/>
      </rPr>
      <t xml:space="preserve">            </t>
    </r>
    <r>
      <rPr>
        <sz val="11"/>
        <color theme="1"/>
        <rFont val="Century Gothic"/>
        <family val="2"/>
      </rPr>
      <t>To effectively evaluate this product against comparable alternatives, it is essential to analyze and contrast its risk and</t>
    </r>
  </si>
  <si>
    <t>reward profile with those of similar products offering analogous risk-reward structures.</t>
  </si>
  <si>
    <r>
      <t>3.</t>
    </r>
    <r>
      <rPr>
        <sz val="11"/>
        <color theme="1"/>
        <rFont val="Times New Roman"/>
        <family val="1"/>
      </rPr>
      <t xml:space="preserve">            </t>
    </r>
    <r>
      <rPr>
        <sz val="11"/>
        <color theme="1"/>
        <rFont val="Century Gothic"/>
        <family val="2"/>
      </rPr>
      <t>This offer contains no guarantees beyond those expressly stated herein. Upon signing, the terms outlined in this offer</t>
    </r>
  </si>
  <si>
    <t>shall constitute a legally binding agreement between the client and the company.</t>
  </si>
  <si>
    <t>Exit date</t>
  </si>
  <si>
    <t>requirements and ensure financial stability.</t>
  </si>
  <si>
    <t>Validity:</t>
  </si>
  <si>
    <r>
      <t xml:space="preserve">This offer remains valid for a period of </t>
    </r>
    <r>
      <rPr>
        <b/>
        <sz val="11"/>
        <color theme="1"/>
        <rFont val="Century Gothic"/>
        <family val="2"/>
      </rPr>
      <t xml:space="preserve">14 </t>
    </r>
    <r>
      <rPr>
        <sz val="11"/>
        <color theme="1"/>
        <rFont val="Century Gothic"/>
        <family val="2"/>
      </rPr>
      <t xml:space="preserve">days from the date of issuance. It is imperative that the receipt of funds occurs </t>
    </r>
  </si>
  <si>
    <t>within this specific time frame. All required documentation must be completed, and funds transfers finalized, on or before the</t>
  </si>
  <si>
    <t>expiration of the offer's validity period. Should any information remain outstanding or incomplete, funds will be processed, but</t>
  </si>
  <si>
    <t>a new offer must be issued and duly executed before the terms can be formally accepted by the company.</t>
  </si>
  <si>
    <t xml:space="preserve">Limited financial advice has been given with this offer. </t>
  </si>
  <si>
    <t>This offer details the fees payable under the contract, which encompass deal placement fees. (commissions)</t>
  </si>
  <si>
    <t>Suitability:</t>
  </si>
  <si>
    <t>maintains a financial position robust enough to support the terms and obligations outlined herein, such term also being the</t>
  </si>
  <si>
    <t xml:space="preserve">potential fluctuation of income drawn from the investment. Ensuring financial stability will safeguard the client's interest and </t>
  </si>
  <si>
    <t>and facilitate the successful execution of this agreement.</t>
  </si>
  <si>
    <t>In the event of your passing during the term of this agreement, the benefits of this agreement shall be transferred to your</t>
  </si>
  <si>
    <t>designated beneficiaries or your estate until the end of the agreement.</t>
  </si>
  <si>
    <t>Current</t>
  </si>
  <si>
    <t>Income allocated to capital in first year</t>
  </si>
  <si>
    <t>ALLOCATION</t>
  </si>
  <si>
    <t>DIV</t>
  </si>
  <si>
    <t>*</t>
  </si>
  <si>
    <t>Fund Name</t>
  </si>
  <si>
    <t>Split</t>
  </si>
  <si>
    <t>Type</t>
  </si>
  <si>
    <t>ISIN</t>
  </si>
  <si>
    <t>Risk-Adverse</t>
  </si>
  <si>
    <t>Modelled Fund Choices</t>
  </si>
  <si>
    <t>Please note that fund choices will be modeled and should the dividends below these returns, the modeled returns will be payable to the client.</t>
  </si>
  <si>
    <t>Projected</t>
  </si>
  <si>
    <t>Annualised</t>
  </si>
  <si>
    <r>
      <rPr>
        <b/>
        <sz val="9"/>
        <color theme="1"/>
        <rFont val="Calibri"/>
        <family val="2"/>
        <scheme val="minor"/>
      </rPr>
      <t>Registered Adress</t>
    </r>
    <r>
      <rPr>
        <sz val="9"/>
        <color theme="1"/>
        <rFont val="Calibri"/>
        <family val="2"/>
        <scheme val="minor"/>
      </rPr>
      <t>: 210 Amarand Avenue, Waterkloof Glen, 0181, Menlyn, Pretoria</t>
    </r>
  </si>
  <si>
    <r>
      <rPr>
        <b/>
        <sz val="9"/>
        <color theme="1"/>
        <rFont val="Calibri"/>
        <family val="2"/>
        <scheme val="minor"/>
      </rPr>
      <t>Fund Adress</t>
    </r>
    <r>
      <rPr>
        <sz val="9"/>
        <color theme="1"/>
        <rFont val="Calibri"/>
        <family val="2"/>
        <scheme val="minor"/>
      </rPr>
      <t>: Sovereign Trust International Limited.</t>
    </r>
  </si>
  <si>
    <t>Sovereign Place, 117 Main Street, GX11 1AA, Gibraltar, GI</t>
  </si>
  <si>
    <t>Western Cape</t>
  </si>
  <si>
    <t>ISIN Code GG00B3TBCS61</t>
  </si>
  <si>
    <t>WSF Global Equity Fund</t>
  </si>
  <si>
    <t>Marilyn Kannemeyer</t>
  </si>
  <si>
    <t>25 Kanna Road</t>
  </si>
  <si>
    <t>Belhar</t>
  </si>
  <si>
    <t>7493</t>
  </si>
  <si>
    <t>0728882033</t>
  </si>
  <si>
    <t>we strongly recommend independent advice before making any commitment.</t>
  </si>
  <si>
    <t>as well as the lock-in periods contained in the investment</t>
  </si>
  <si>
    <r>
      <t>4.</t>
    </r>
    <r>
      <rPr>
        <sz val="11"/>
        <color theme="1"/>
        <rFont val="Times New Roman"/>
        <family val="1"/>
      </rPr>
      <t xml:space="preserve">       </t>
    </r>
    <r>
      <rPr>
        <sz val="11"/>
        <color theme="1"/>
        <rFont val="Century Gothic"/>
        <family val="2"/>
      </rPr>
      <t>The applicant acknowledges understanding of the complexities involving this investment</t>
    </r>
  </si>
  <si>
    <r>
      <t>5.</t>
    </r>
    <r>
      <rPr>
        <sz val="11"/>
        <color theme="1"/>
        <rFont val="Times New Roman"/>
        <family val="1"/>
      </rPr>
      <t xml:space="preserve">            </t>
    </r>
    <r>
      <rPr>
        <sz val="11"/>
        <color theme="1"/>
        <rFont val="Century Gothic"/>
        <family val="2"/>
      </rPr>
      <t>The applicant understands that a loan agreement will come into existence after signature of this quotation</t>
    </r>
  </si>
  <si>
    <t xml:space="preserve">and that returns paid are mirrored on the performance of the selected fund above. </t>
  </si>
  <si>
    <r>
      <t>7.</t>
    </r>
    <r>
      <rPr>
        <sz val="11"/>
        <color theme="1"/>
        <rFont val="Times New Roman"/>
        <family val="1"/>
      </rPr>
      <t xml:space="preserve">            </t>
    </r>
    <r>
      <rPr>
        <sz val="11"/>
        <color theme="1"/>
        <rFont val="Century Gothic"/>
        <family val="2"/>
      </rPr>
      <t>The applicant understands that the directors or trustees of company funds, in their collective capacity, may</t>
    </r>
  </si>
  <si>
    <t>limit, withold, defer or reduce payments or payouts as necessary at moment's notice to safeguard the company's liquidity</t>
  </si>
  <si>
    <r>
      <t>8.</t>
    </r>
    <r>
      <rPr>
        <sz val="11"/>
        <color theme="1"/>
        <rFont val="Times New Roman"/>
        <family val="1"/>
      </rPr>
      <t xml:space="preserve">            </t>
    </r>
    <r>
      <rPr>
        <sz val="11"/>
        <color theme="1"/>
        <rFont val="Century Gothic"/>
        <family val="2"/>
      </rPr>
      <t>The individual, individuals or organisation/s entering into this agreement acknowledges and understands that this is</t>
    </r>
  </si>
  <si>
    <t>a fixed-term contract, as specified in the duration outlined above. The term "Exit Date" refers to the agreed-upon end date</t>
  </si>
  <si>
    <t>of the agreement.</t>
  </si>
  <si>
    <t>are returnable when the applicant is paid back his invested capital.</t>
  </si>
  <si>
    <r>
      <t>9.</t>
    </r>
    <r>
      <rPr>
        <sz val="11"/>
        <color theme="1"/>
        <rFont val="Times New Roman"/>
        <family val="1"/>
      </rPr>
      <t xml:space="preserve">            </t>
    </r>
    <r>
      <rPr>
        <sz val="11"/>
        <color theme="1"/>
        <rFont val="Century Gothic"/>
        <family val="2"/>
      </rPr>
      <t>The applicant understands that if shares are issued under this agreement, the shares are issued for security only and</t>
    </r>
  </si>
  <si>
    <r>
      <t>10.</t>
    </r>
    <r>
      <rPr>
        <sz val="11"/>
        <color theme="1"/>
        <rFont val="Times New Roman"/>
        <family val="1"/>
      </rPr>
      <t xml:space="preserve">            </t>
    </r>
    <r>
      <rPr>
        <sz val="11"/>
        <color theme="1"/>
        <rFont val="Century Gothic"/>
        <family val="2"/>
      </rPr>
      <t>The applicant retains the option to convert their capital to fixed shares at exit date; whereafter the par value of</t>
    </r>
  </si>
  <si>
    <t>the converted shares will be based on a comprehensive company's valuation at the time of exit.</t>
  </si>
  <si>
    <r>
      <t>2.</t>
    </r>
    <r>
      <rPr>
        <sz val="11"/>
        <color theme="1"/>
        <rFont val="Times New Roman"/>
        <family val="1"/>
      </rPr>
      <t xml:space="preserve">            </t>
    </r>
    <r>
      <rPr>
        <sz val="11"/>
        <color theme="1"/>
        <rFont val="Century Gothic"/>
        <family val="2"/>
      </rPr>
      <t>This offer involves the purchase of Fixed Deposit Notes FDN's in private equity. Given the inherent risks associated</t>
    </r>
  </si>
  <si>
    <t>1</t>
  </si>
  <si>
    <t>Percentage returned first year</t>
  </si>
  <si>
    <t>Amount allocated with enhancement</t>
  </si>
  <si>
    <t>Email: info@opiancapital.com  Website: www.opiancapital.com</t>
  </si>
  <si>
    <t>Return Cycle</t>
  </si>
  <si>
    <t>Capital allocation</t>
  </si>
  <si>
    <t>Return Forecast</t>
  </si>
  <si>
    <t>Quotation Tool for FlexMax Capital Appreciator Fixed Deposit Note 1 Year Term</t>
  </si>
  <si>
    <t>Quotation for FlexMax Capital Appreciator Fixed Deposit Note 1 Year Term</t>
  </si>
  <si>
    <t>Admin Fees</t>
  </si>
  <si>
    <t>Once Off</t>
  </si>
  <si>
    <t>3.50%</t>
  </si>
  <si>
    <t>First Year 0.50%</t>
  </si>
  <si>
    <t>0.50%</t>
  </si>
  <si>
    <t>The client's access to capital are restricted for the duration of this agreement. As such, it is imperative that the client</t>
  </si>
  <si>
    <t>liquid investments or savings to ensure liquidity during this investment .</t>
  </si>
  <si>
    <t>6.            The applicant understands the zero liquidity nature of this investment and has ensured that he has enough alternative</t>
  </si>
  <si>
    <t xml:space="preserve">I, the undersigned, by my signature below, hereby accept the above quotation and confirm that this quotation will form the </t>
  </si>
  <si>
    <t xml:space="preserve">basis of my agreement with the company. I confirm that the amount will be invested and I confirm herewith by my signature </t>
  </si>
  <si>
    <t>below that this will constitute a legal, valid and binding obligation to the issuer enforceable in accordance with its terms.</t>
  </si>
  <si>
    <t>Signature of Investor:</t>
  </si>
  <si>
    <t>Application form</t>
  </si>
  <si>
    <t>OFDN-104-778-004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</si>
</sst>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R-1C09]#,##0.00"/>
    <numFmt numFmtId="165" formatCode="&quot;R&quot;#,##0.0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entury Gothic"/>
      <family val="2"/>
    </font>
    <font>
      <sz val="11"/>
      <color theme="1"/>
      <name val="Century Gothic"/>
      <family val="2"/>
    </font>
    <font>
      <sz val="8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rgb="FF000000"/>
      <name val="Century Gothic"/>
      <family val="2"/>
    </font>
    <font>
      <sz val="1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b/>
      <sz val="12"/>
      <color rgb="FFFF0000"/>
      <name val="Century Gothic"/>
      <family val="2"/>
    </font>
    <font>
      <b/>
      <sz val="10"/>
      <color theme="1"/>
      <name val="Century Gothic"/>
      <family val="2"/>
    </font>
    <font>
      <sz val="11"/>
      <color rgb="FF0000FF"/>
      <name val="Century Gothic"/>
      <family val="2"/>
    </font>
    <font>
      <b/>
      <u/>
      <sz val="11"/>
      <color rgb="FF0000FF"/>
      <name val="Century Gothic"/>
      <family val="2"/>
    </font>
    <font>
      <sz val="9"/>
      <color theme="1"/>
      <name val="Calibri"/>
      <family val="2"/>
      <scheme val="minor"/>
    </font>
    <font>
      <b/>
      <sz val="18"/>
      <color theme="1"/>
      <name val="Century Gothic"/>
      <family val="2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rgb="FF000000"/>
      <name val="Century Gothic"/>
      <family val="2"/>
    </font>
    <font>
      <b/>
      <sz val="10"/>
      <color rgb="FF000000"/>
      <name val="Century Gothic"/>
      <family val="2"/>
    </font>
    <font>
      <b/>
      <sz val="36"/>
      <color theme="1"/>
      <name val="Century Gothic"/>
      <family val="2"/>
    </font>
    <font>
      <b/>
      <sz val="11"/>
      <color theme="1"/>
      <name val="Calibri"/>
      <family val="2"/>
      <scheme val="minor"/>
    </font>
    <font>
      <sz val="10"/>
      <name val="Century Gothic"/>
      <family val="2"/>
    </font>
    <font>
      <sz val="11"/>
      <name val="Century Gothic"/>
      <family val="2"/>
    </font>
    <font>
      <sz val="11"/>
      <name val="Calibri"/>
      <family val="2"/>
      <scheme val="minor"/>
    </font>
    <font>
      <b/>
      <sz val="11"/>
      <name val="Century Gothic"/>
      <family val="2"/>
    </font>
    <font>
      <u/>
      <sz val="11"/>
      <color theme="10"/>
      <name val="Calibri"/>
      <family val="2"/>
      <scheme val="minor"/>
    </font>
    <font>
      <b/>
      <sz val="8"/>
      <name val="Century Gothic"/>
      <family val="2"/>
    </font>
    <font>
      <b/>
      <sz val="9"/>
      <color theme="1"/>
      <name val="Calibri"/>
      <family val="2"/>
      <scheme val="minor"/>
    </font>
    <font>
      <b/>
      <sz val="10"/>
      <name val="Century Gothic"/>
      <family val="2"/>
    </font>
    <font>
      <b/>
      <sz val="16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203">
    <xf numFmtId="0" fontId="0" fillId="0" borderId="0" xfId="0"/>
    <xf numFmtId="0" fontId="1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horizontal="right" vertical="center"/>
    </xf>
    <xf numFmtId="14" fontId="0" fillId="0" borderId="0" xfId="0" applyNumberFormat="1"/>
    <xf numFmtId="0" fontId="17" fillId="0" borderId="0" xfId="0" applyFont="1" applyAlignment="1">
      <alignment vertical="center"/>
    </xf>
    <xf numFmtId="0" fontId="11" fillId="0" borderId="0" xfId="0" applyFont="1"/>
    <xf numFmtId="0" fontId="13" fillId="0" borderId="0" xfId="0" applyFont="1" applyAlignment="1">
      <alignment horizontal="center" vertical="center"/>
    </xf>
    <xf numFmtId="0" fontId="9" fillId="0" borderId="0" xfId="0" applyFont="1"/>
    <xf numFmtId="0" fontId="13" fillId="0" borderId="4" xfId="0" applyFont="1" applyBorder="1" applyAlignment="1">
      <alignment vertical="center" wrapText="1"/>
    </xf>
    <xf numFmtId="0" fontId="15" fillId="0" borderId="0" xfId="0" applyFont="1"/>
    <xf numFmtId="0" fontId="0" fillId="0" borderId="12" xfId="0" applyBorder="1"/>
    <xf numFmtId="0" fontId="0" fillId="0" borderId="3" xfId="0" applyBorder="1"/>
    <xf numFmtId="0" fontId="0" fillId="0" borderId="11" xfId="0" applyBorder="1"/>
    <xf numFmtId="0" fontId="0" fillId="0" borderId="5" xfId="0" applyBorder="1"/>
    <xf numFmtId="0" fontId="24" fillId="0" borderId="11" xfId="0" applyFont="1" applyBorder="1" applyAlignment="1">
      <alignment horizontal="left" vertical="center" readingOrder="1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24" fillId="0" borderId="0" xfId="0" applyFont="1" applyAlignment="1">
      <alignment vertical="center" readingOrder="1"/>
    </xf>
    <xf numFmtId="0" fontId="13" fillId="0" borderId="0" xfId="0" applyFont="1"/>
    <xf numFmtId="14" fontId="15" fillId="2" borderId="0" xfId="0" applyNumberFormat="1" applyFont="1" applyFill="1" applyAlignment="1" applyProtection="1">
      <alignment horizontal="left" vertical="center"/>
      <protection locked="0"/>
    </xf>
    <xf numFmtId="0" fontId="23" fillId="0" borderId="0" xfId="0" applyFont="1" applyProtection="1">
      <protection locked="0"/>
    </xf>
    <xf numFmtId="164" fontId="15" fillId="2" borderId="0" xfId="0" applyNumberFormat="1" applyFont="1" applyFill="1" applyAlignment="1" applyProtection="1">
      <alignment horizontal="left" vertical="center"/>
      <protection locked="0"/>
    </xf>
    <xf numFmtId="164" fontId="15" fillId="0" borderId="0" xfId="0" applyNumberFormat="1" applyFont="1" applyAlignment="1" applyProtection="1">
      <alignment vertical="center"/>
      <protection locked="0"/>
    </xf>
    <xf numFmtId="0" fontId="15" fillId="0" borderId="0" xfId="0" applyFont="1" applyProtection="1">
      <protection locked="0"/>
    </xf>
    <xf numFmtId="0" fontId="8" fillId="0" borderId="0" xfId="0" applyFont="1" applyAlignment="1">
      <alignment horizontal="left"/>
    </xf>
    <xf numFmtId="0" fontId="8" fillId="0" borderId="0" xfId="0" applyFont="1"/>
    <xf numFmtId="10" fontId="13" fillId="0" borderId="4" xfId="0" applyNumberFormat="1" applyFont="1" applyBorder="1" applyAlignment="1">
      <alignment horizontal="left" vertical="center" wrapText="1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21" fillId="0" borderId="0" xfId="0" applyFont="1" applyAlignment="1">
      <alignment horizontal="left" vertical="center"/>
    </xf>
    <xf numFmtId="0" fontId="14" fillId="0" borderId="0" xfId="0" applyFont="1"/>
    <xf numFmtId="14" fontId="14" fillId="0" borderId="0" xfId="0" applyNumberFormat="1" applyFont="1" applyAlignment="1">
      <alignment horizontal="left"/>
    </xf>
    <xf numFmtId="49" fontId="15" fillId="2" borderId="0" xfId="0" applyNumberFormat="1" applyFont="1" applyFill="1" applyAlignment="1" applyProtection="1">
      <alignment horizontal="left" vertical="center"/>
      <protection locked="0"/>
    </xf>
    <xf numFmtId="0" fontId="8" fillId="0" borderId="7" xfId="0" applyFont="1" applyBorder="1"/>
    <xf numFmtId="0" fontId="8" fillId="0" borderId="0" xfId="0" applyFont="1" applyAlignment="1">
      <alignment horizontal="left" vertical="center"/>
    </xf>
    <xf numFmtId="0" fontId="24" fillId="0" borderId="5" xfId="0" applyFont="1" applyBorder="1" applyAlignment="1">
      <alignment vertical="center" readingOrder="1"/>
    </xf>
    <xf numFmtId="0" fontId="13" fillId="0" borderId="5" xfId="0" applyFont="1" applyBorder="1"/>
    <xf numFmtId="0" fontId="0" fillId="0" borderId="0" xfId="0" applyProtection="1">
      <protection locked="0"/>
    </xf>
    <xf numFmtId="10" fontId="16" fillId="0" borderId="0" xfId="0" applyNumberFormat="1" applyFont="1" applyAlignment="1" applyProtection="1">
      <alignment horizontal="right" vertical="center"/>
      <protection locked="0"/>
    </xf>
    <xf numFmtId="0" fontId="27" fillId="2" borderId="16" xfId="0" applyFont="1" applyFill="1" applyBorder="1" applyAlignment="1">
      <alignment horizontal="center"/>
    </xf>
    <xf numFmtId="0" fontId="27" fillId="2" borderId="17" xfId="0" applyFont="1" applyFill="1" applyBorder="1" applyAlignment="1">
      <alignment horizontal="center"/>
    </xf>
    <xf numFmtId="0" fontId="27" fillId="2" borderId="18" xfId="0" applyFont="1" applyFill="1" applyBorder="1" applyAlignment="1">
      <alignment horizontal="center"/>
    </xf>
    <xf numFmtId="0" fontId="27" fillId="2" borderId="19" xfId="0" applyFont="1" applyFill="1" applyBorder="1" applyAlignment="1">
      <alignment horizontal="center"/>
    </xf>
    <xf numFmtId="0" fontId="27" fillId="2" borderId="20" xfId="0" applyFont="1" applyFill="1" applyBorder="1" applyAlignment="1">
      <alignment horizontal="center"/>
    </xf>
    <xf numFmtId="0" fontId="27" fillId="2" borderId="21" xfId="0" applyFont="1" applyFill="1" applyBorder="1" applyAlignment="1">
      <alignment horizontal="center"/>
    </xf>
    <xf numFmtId="0" fontId="0" fillId="3" borderId="15" xfId="0" applyFill="1" applyBorder="1"/>
    <xf numFmtId="0" fontId="0" fillId="3" borderId="22" xfId="0" applyFill="1" applyBorder="1"/>
    <xf numFmtId="0" fontId="0" fillId="3" borderId="23" xfId="0" applyFill="1" applyBorder="1"/>
    <xf numFmtId="164" fontId="29" fillId="0" borderId="2" xfId="0" applyNumberFormat="1" applyFont="1" applyBorder="1" applyAlignment="1">
      <alignment horizontal="right" vertical="center" wrapText="1"/>
    </xf>
    <xf numFmtId="164" fontId="29" fillId="0" borderId="4" xfId="0" applyNumberFormat="1" applyFont="1" applyBorder="1" applyAlignment="1">
      <alignment horizontal="right" vertical="center" wrapText="1"/>
    </xf>
    <xf numFmtId="0" fontId="29" fillId="0" borderId="4" xfId="0" applyFont="1" applyBorder="1" applyAlignment="1">
      <alignment horizontal="right" vertical="center" wrapText="1"/>
    </xf>
    <xf numFmtId="15" fontId="29" fillId="0" borderId="4" xfId="0" applyNumberFormat="1" applyFont="1" applyBorder="1" applyAlignment="1">
      <alignment horizontal="right" vertical="center" wrapText="1"/>
    </xf>
    <xf numFmtId="10" fontId="29" fillId="0" borderId="4" xfId="0" applyNumberFormat="1" applyFont="1" applyBorder="1" applyAlignment="1">
      <alignment horizontal="right" vertical="center" wrapText="1"/>
    </xf>
    <xf numFmtId="165" fontId="29" fillId="0" borderId="4" xfId="0" applyNumberFormat="1" applyFont="1" applyBorder="1" applyAlignment="1">
      <alignment horizontal="right" vertical="center" wrapText="1"/>
    </xf>
    <xf numFmtId="0" fontId="30" fillId="0" borderId="0" xfId="0" applyFont="1"/>
    <xf numFmtId="15" fontId="29" fillId="0" borderId="1" xfId="0" applyNumberFormat="1" applyFont="1" applyBorder="1" applyAlignment="1">
      <alignment horizontal="right" vertical="center" wrapText="1"/>
    </xf>
    <xf numFmtId="9" fontId="31" fillId="0" borderId="1" xfId="0" applyNumberFormat="1" applyFont="1" applyBorder="1" applyAlignment="1">
      <alignment horizontal="right" vertical="center" wrapText="1"/>
    </xf>
    <xf numFmtId="0" fontId="27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0" fontId="15" fillId="2" borderId="0" xfId="0" applyFont="1" applyFill="1"/>
    <xf numFmtId="0" fontId="11" fillId="0" borderId="0" xfId="0" applyFont="1" applyAlignment="1">
      <alignment horizontal="left" vertical="center" wrapText="1"/>
    </xf>
    <xf numFmtId="49" fontId="8" fillId="0" borderId="0" xfId="0" applyNumberFormat="1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49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7" xfId="0" applyFont="1" applyBorder="1"/>
    <xf numFmtId="0" fontId="27" fillId="0" borderId="6" xfId="0" applyFont="1" applyBorder="1" applyAlignment="1">
      <alignment horizontal="center"/>
    </xf>
    <xf numFmtId="10" fontId="0" fillId="0" borderId="24" xfId="0" applyNumberFormat="1" applyBorder="1" applyAlignment="1">
      <alignment horizontal="center"/>
    </xf>
    <xf numFmtId="10" fontId="0" fillId="0" borderId="25" xfId="0" applyNumberFormat="1" applyBorder="1" applyAlignment="1">
      <alignment horizontal="center"/>
    </xf>
    <xf numFmtId="0" fontId="17" fillId="0" borderId="0" xfId="0" applyFont="1" applyAlignment="1">
      <alignment horizontal="center" wrapText="1"/>
    </xf>
    <xf numFmtId="0" fontId="4" fillId="0" borderId="0" xfId="0" applyFont="1"/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5" fillId="2" borderId="0" xfId="0" applyNumberFormat="1" applyFont="1" applyFill="1" applyAlignment="1" applyProtection="1">
      <alignment horizontal="right"/>
      <protection locked="0"/>
    </xf>
    <xf numFmtId="14" fontId="14" fillId="2" borderId="0" xfId="0" applyNumberFormat="1" applyFont="1" applyFill="1" applyAlignment="1" applyProtection="1">
      <alignment vertical="center"/>
      <protection locked="0"/>
    </xf>
    <xf numFmtId="0" fontId="13" fillId="0" borderId="0" xfId="0" applyFont="1" applyAlignment="1">
      <alignment horizontal="center" vertical="center" wrapText="1"/>
    </xf>
    <xf numFmtId="165" fontId="28" fillId="0" borderId="0" xfId="0" applyNumberFormat="1" applyFont="1" applyAlignment="1">
      <alignment vertical="center" wrapText="1"/>
    </xf>
    <xf numFmtId="10" fontId="28" fillId="0" borderId="0" xfId="0" applyNumberFormat="1" applyFont="1" applyAlignment="1">
      <alignment horizontal="center" vertical="center" wrapText="1"/>
    </xf>
    <xf numFmtId="165" fontId="28" fillId="0" borderId="0" xfId="0" applyNumberFormat="1" applyFont="1" applyAlignment="1">
      <alignment horizontal="center" vertical="center" wrapText="1"/>
    </xf>
    <xf numFmtId="165" fontId="28" fillId="0" borderId="26" xfId="0" applyNumberFormat="1" applyFont="1" applyBorder="1" applyAlignment="1">
      <alignment vertical="center" wrapText="1"/>
    </xf>
    <xf numFmtId="0" fontId="13" fillId="0" borderId="28" xfId="0" applyFont="1" applyBorder="1" applyAlignment="1">
      <alignment horizontal="center" vertical="center" wrapText="1"/>
    </xf>
    <xf numFmtId="10" fontId="13" fillId="0" borderId="36" xfId="0" applyNumberFormat="1" applyFont="1" applyBorder="1" applyAlignment="1">
      <alignment horizontal="center" vertical="center" wrapText="1"/>
    </xf>
    <xf numFmtId="10" fontId="28" fillId="0" borderId="30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5" fillId="3" borderId="0" xfId="0" applyFont="1" applyFill="1" applyAlignment="1">
      <alignment vertical="center"/>
    </xf>
    <xf numFmtId="10" fontId="15" fillId="3" borderId="0" xfId="0" applyNumberFormat="1" applyFont="1" applyFill="1" applyAlignment="1" applyProtection="1">
      <alignment horizontal="left" vertical="center"/>
      <protection locked="0"/>
    </xf>
    <xf numFmtId="164" fontId="15" fillId="3" borderId="0" xfId="0" applyNumberFormat="1" applyFont="1" applyFill="1" applyAlignment="1" applyProtection="1">
      <alignment horizontal="left" vertical="center"/>
      <protection locked="0"/>
    </xf>
    <xf numFmtId="0" fontId="0" fillId="3" borderId="0" xfId="0" applyFill="1"/>
    <xf numFmtId="0" fontId="15" fillId="3" borderId="0" xfId="0" applyFont="1" applyFill="1" applyAlignment="1">
      <alignment horizontal="left"/>
    </xf>
    <xf numFmtId="10" fontId="16" fillId="3" borderId="0" xfId="0" applyNumberFormat="1" applyFont="1" applyFill="1" applyAlignment="1" applyProtection="1">
      <alignment horizontal="right" vertical="center"/>
      <protection locked="0"/>
    </xf>
    <xf numFmtId="14" fontId="15" fillId="2" borderId="0" xfId="0" applyNumberFormat="1" applyFont="1" applyFill="1" applyAlignment="1" applyProtection="1">
      <alignment horizontal="right" vertical="center"/>
      <protection locked="0"/>
    </xf>
    <xf numFmtId="165" fontId="35" fillId="0" borderId="31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13" fillId="4" borderId="29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vertical="center" wrapText="1"/>
    </xf>
    <xf numFmtId="0" fontId="25" fillId="0" borderId="11" xfId="0" applyFont="1" applyBorder="1" applyAlignment="1">
      <alignment horizontal="left" vertical="center" readingOrder="1"/>
    </xf>
    <xf numFmtId="0" fontId="25" fillId="0" borderId="0" xfId="0" applyFont="1" applyAlignment="1">
      <alignment horizontal="left" vertical="center" readingOrder="1"/>
    </xf>
    <xf numFmtId="0" fontId="25" fillId="0" borderId="11" xfId="0" applyFont="1" applyBorder="1" applyAlignment="1">
      <alignment horizontal="left" vertical="center" readingOrder="1"/>
    </xf>
    <xf numFmtId="0" fontId="25" fillId="0" borderId="0" xfId="0" applyFont="1" applyAlignment="1">
      <alignment horizontal="left" vertical="center" readingOrder="1"/>
    </xf>
    <xf numFmtId="0" fontId="24" fillId="0" borderId="11" xfId="0" applyFont="1" applyBorder="1" applyAlignment="1">
      <alignment horizontal="left" vertical="center" readingOrder="1"/>
    </xf>
    <xf numFmtId="0" fontId="24" fillId="0" borderId="0" xfId="0" applyFont="1" applyAlignment="1">
      <alignment horizontal="left" vertical="center" readingOrder="1"/>
    </xf>
    <xf numFmtId="0" fontId="12" fillId="0" borderId="10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0" borderId="11" xfId="0" applyFont="1" applyBorder="1" applyAlignment="1">
      <alignment horizontal="left" vertical="center" readingOrder="1"/>
    </xf>
    <xf numFmtId="0" fontId="12" fillId="0" borderId="0" xfId="0" applyFont="1" applyAlignment="1">
      <alignment horizontal="left" vertical="center" readingOrder="1"/>
    </xf>
    <xf numFmtId="0" fontId="11" fillId="0" borderId="0" xfId="0" applyFont="1" applyAlignment="1">
      <alignment horizontal="left"/>
    </xf>
    <xf numFmtId="0" fontId="24" fillId="0" borderId="11" xfId="0" applyFont="1" applyBorder="1" applyAlignment="1">
      <alignment horizontal="distributed" vertical="center" readingOrder="1"/>
    </xf>
    <xf numFmtId="0" fontId="24" fillId="0" borderId="0" xfId="0" applyFont="1" applyAlignment="1">
      <alignment horizontal="distributed" vertical="center" readingOrder="1"/>
    </xf>
    <xf numFmtId="0" fontId="13" fillId="0" borderId="11" xfId="0" applyFont="1" applyBorder="1" applyAlignment="1">
      <alignment horizontal="distributed"/>
    </xf>
    <xf numFmtId="0" fontId="13" fillId="0" borderId="0" xfId="0" applyFont="1" applyAlignment="1">
      <alignment horizontal="distributed"/>
    </xf>
    <xf numFmtId="0" fontId="13" fillId="0" borderId="11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9" fillId="0" borderId="8" xfId="0" applyFont="1" applyBorder="1" applyAlignment="1">
      <alignment horizontal="left" vertical="center" wrapText="1"/>
    </xf>
    <xf numFmtId="0" fontId="29" fillId="0" borderId="9" xfId="0" applyFont="1" applyBorder="1" applyAlignment="1">
      <alignment horizontal="left" vertical="center" wrapText="1"/>
    </xf>
    <xf numFmtId="0" fontId="29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4" fontId="8" fillId="0" borderId="0" xfId="0" applyNumberFormat="1" applyFont="1" applyAlignment="1">
      <alignment horizontal="left"/>
    </xf>
    <xf numFmtId="14" fontId="8" fillId="0" borderId="0" xfId="0" applyNumberFormat="1" applyFont="1" applyAlignment="1">
      <alignment horizontal="left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0" fontId="20" fillId="0" borderId="0" xfId="0" applyFont="1" applyAlignment="1">
      <alignment horizontal="left" vertical="center"/>
    </xf>
    <xf numFmtId="0" fontId="13" fillId="4" borderId="9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distributed" vertical="distributed"/>
    </xf>
    <xf numFmtId="0" fontId="8" fillId="0" borderId="0" xfId="0" applyFont="1" applyAlignment="1">
      <alignment horizontal="distributed" vertical="distributed"/>
    </xf>
    <xf numFmtId="0" fontId="2" fillId="0" borderId="0" xfId="0" applyFont="1" applyAlignment="1">
      <alignment horizontal="distributed" vertical="distributed"/>
    </xf>
    <xf numFmtId="0" fontId="5" fillId="0" borderId="0" xfId="0" applyFont="1" applyAlignment="1">
      <alignment horizontal="distributed" vertical="distributed"/>
    </xf>
    <xf numFmtId="0" fontId="3" fillId="0" borderId="0" xfId="0" applyFont="1" applyAlignment="1">
      <alignment horizontal="left" vertical="distributed"/>
    </xf>
    <xf numFmtId="0" fontId="8" fillId="0" borderId="0" xfId="0" applyFont="1" applyAlignment="1">
      <alignment horizontal="left" vertical="distributed"/>
    </xf>
    <xf numFmtId="0" fontId="5" fillId="0" borderId="0" xfId="0" applyFont="1" applyAlignment="1">
      <alignment horizontal="left" vertical="distributed"/>
    </xf>
    <xf numFmtId="0" fontId="3" fillId="0" borderId="0" xfId="0" applyFont="1" applyAlignment="1">
      <alignment horizontal="distributed" vertical="distributed"/>
    </xf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3" fillId="0" borderId="1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10" fontId="13" fillId="0" borderId="34" xfId="0" applyNumberFormat="1" applyFont="1" applyBorder="1" applyAlignment="1">
      <alignment horizontal="center" vertical="center" wrapText="1"/>
    </xf>
    <xf numFmtId="10" fontId="13" fillId="0" borderId="35" xfId="0" applyNumberFormat="1" applyFont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/>
    </xf>
    <xf numFmtId="0" fontId="1" fillId="0" borderId="0" xfId="0" applyFont="1" applyAlignment="1">
      <alignment horizontal="distributed" vertical="distributed"/>
    </xf>
    <xf numFmtId="0" fontId="20" fillId="0" borderId="0" xfId="0" applyFont="1" applyAlignment="1">
      <alignment horizontal="right" vertical="center"/>
    </xf>
    <xf numFmtId="0" fontId="17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distributed"/>
    </xf>
    <xf numFmtId="0" fontId="7" fillId="0" borderId="0" xfId="0" applyFont="1" applyAlignment="1">
      <alignment horizontal="left"/>
    </xf>
    <xf numFmtId="165" fontId="28" fillId="4" borderId="32" xfId="0" applyNumberFormat="1" applyFont="1" applyFill="1" applyBorder="1" applyAlignment="1">
      <alignment horizontal="center" vertical="center" wrapText="1"/>
    </xf>
    <xf numFmtId="165" fontId="28" fillId="4" borderId="24" xfId="0" applyNumberFormat="1" applyFont="1" applyFill="1" applyBorder="1" applyAlignment="1">
      <alignment horizontal="center" vertical="center" wrapText="1"/>
    </xf>
    <xf numFmtId="165" fontId="28" fillId="4" borderId="33" xfId="0" applyNumberFormat="1" applyFont="1" applyFill="1" applyBorder="1" applyAlignment="1">
      <alignment horizontal="center" vertical="center" wrapText="1"/>
    </xf>
    <xf numFmtId="10" fontId="28" fillId="4" borderId="32" xfId="0" applyNumberFormat="1" applyFont="1" applyFill="1" applyBorder="1" applyAlignment="1">
      <alignment horizontal="center" vertical="center" wrapText="1"/>
    </xf>
    <xf numFmtId="10" fontId="28" fillId="4" borderId="24" xfId="0" applyNumberFormat="1" applyFont="1" applyFill="1" applyBorder="1" applyAlignment="1">
      <alignment horizontal="center" vertical="center" wrapText="1"/>
    </xf>
    <xf numFmtId="10" fontId="28" fillId="4" borderId="25" xfId="0" applyNumberFormat="1" applyFont="1" applyFill="1" applyBorder="1" applyAlignment="1">
      <alignment horizontal="center" vertical="center" wrapText="1"/>
    </xf>
    <xf numFmtId="165" fontId="28" fillId="0" borderId="37" xfId="0" applyNumberFormat="1" applyFont="1" applyBorder="1" applyAlignment="1">
      <alignment horizontal="center" vertical="center" wrapText="1"/>
    </xf>
    <xf numFmtId="165" fontId="28" fillId="0" borderId="27" xfId="0" applyNumberFormat="1" applyFont="1" applyBorder="1" applyAlignment="1">
      <alignment horizontal="center" vertical="center" wrapText="1"/>
    </xf>
    <xf numFmtId="165" fontId="28" fillId="0" borderId="38" xfId="0" applyNumberFormat="1" applyFont="1" applyBorder="1" applyAlignment="1">
      <alignment horizontal="center" vertical="center" wrapText="1"/>
    </xf>
    <xf numFmtId="10" fontId="13" fillId="4" borderId="10" xfId="0" applyNumberFormat="1" applyFont="1" applyFill="1" applyBorder="1" applyAlignment="1">
      <alignment horizontal="center" vertical="center" wrapText="1"/>
    </xf>
    <xf numFmtId="10" fontId="13" fillId="4" borderId="12" xfId="0" applyNumberFormat="1" applyFont="1" applyFill="1" applyBorder="1" applyAlignment="1">
      <alignment horizontal="center" vertical="center" wrapText="1"/>
    </xf>
    <xf numFmtId="10" fontId="13" fillId="4" borderId="3" xfId="0" applyNumberFormat="1" applyFont="1" applyFill="1" applyBorder="1" applyAlignment="1">
      <alignment horizontal="center" vertical="center" wrapText="1"/>
    </xf>
    <xf numFmtId="10" fontId="13" fillId="4" borderId="11" xfId="0" applyNumberFormat="1" applyFont="1" applyFill="1" applyBorder="1" applyAlignment="1">
      <alignment horizontal="center" vertical="center" wrapText="1"/>
    </xf>
    <xf numFmtId="10" fontId="13" fillId="4" borderId="0" xfId="0" applyNumberFormat="1" applyFont="1" applyFill="1" applyAlignment="1">
      <alignment horizontal="center" vertical="center" wrapText="1"/>
    </xf>
    <xf numFmtId="10" fontId="13" fillId="4" borderId="5" xfId="0" applyNumberFormat="1" applyFont="1" applyFill="1" applyBorder="1" applyAlignment="1">
      <alignment horizontal="center" vertical="center" wrapText="1"/>
    </xf>
    <xf numFmtId="10" fontId="13" fillId="4" borderId="6" xfId="0" applyNumberFormat="1" applyFont="1" applyFill="1" applyBorder="1" applyAlignment="1">
      <alignment horizontal="center" vertical="center" wrapText="1"/>
    </xf>
    <xf numFmtId="10" fontId="13" fillId="4" borderId="7" xfId="0" applyNumberFormat="1" applyFont="1" applyFill="1" applyBorder="1" applyAlignment="1">
      <alignment horizontal="center" vertical="center" wrapText="1"/>
    </xf>
    <xf numFmtId="10" fontId="13" fillId="4" borderId="4" xfId="0" applyNumberFormat="1" applyFont="1" applyFill="1" applyBorder="1" applyAlignment="1">
      <alignment horizontal="center" vertical="center" wrapText="1"/>
    </xf>
    <xf numFmtId="10" fontId="13" fillId="0" borderId="10" xfId="0" applyNumberFormat="1" applyFont="1" applyBorder="1" applyAlignment="1">
      <alignment horizontal="center" vertical="center" wrapText="1"/>
    </xf>
    <xf numFmtId="10" fontId="13" fillId="0" borderId="12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32" fillId="0" borderId="0" xfId="1" applyNumberFormat="1" applyAlignment="1">
      <alignment horizontal="left" vertical="center" wrapText="1"/>
    </xf>
    <xf numFmtId="165" fontId="33" fillId="0" borderId="0" xfId="0" applyNumberFormat="1" applyFont="1" applyAlignment="1">
      <alignment horizontal="left" vertical="distributed" wrapText="1"/>
    </xf>
    <xf numFmtId="9" fontId="28" fillId="0" borderId="0" xfId="0" applyNumberFormat="1" applyFont="1" applyAlignment="1">
      <alignment horizontal="center" vertical="center" wrapText="1"/>
    </xf>
    <xf numFmtId="9" fontId="28" fillId="0" borderId="5" xfId="0" applyNumberFormat="1" applyFont="1" applyBorder="1" applyAlignment="1">
      <alignment horizontal="center" vertical="center" wrapText="1"/>
    </xf>
    <xf numFmtId="165" fontId="28" fillId="0" borderId="8" xfId="0" applyNumberFormat="1" applyFont="1" applyBorder="1" applyAlignment="1">
      <alignment horizontal="center" vertical="center" wrapText="1"/>
    </xf>
    <xf numFmtId="165" fontId="28" fillId="0" borderId="2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distributed" vertical="distributed"/>
    </xf>
    <xf numFmtId="165" fontId="28" fillId="0" borderId="12" xfId="0" applyNumberFormat="1" applyFont="1" applyBorder="1" applyAlignment="1">
      <alignment horizontal="center" vertical="center" wrapText="1"/>
    </xf>
    <xf numFmtId="165" fontId="28" fillId="0" borderId="3" xfId="0" applyNumberFormat="1" applyFont="1" applyBorder="1" applyAlignment="1">
      <alignment horizontal="center" vertical="center" wrapText="1"/>
    </xf>
    <xf numFmtId="165" fontId="28" fillId="0" borderId="9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 vertical="distributed"/>
    </xf>
    <xf numFmtId="14" fontId="11" fillId="0" borderId="0" xfId="0" applyNumberFormat="1" applyFont="1" applyAlignment="1">
      <alignment horizontal="left" vertical="center" wrapText="1"/>
    </xf>
    <xf numFmtId="14" fontId="11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14" fontId="15" fillId="2" borderId="0" xfId="0" applyNumberFormat="1" applyFont="1" applyFill="1" applyAlignment="1" applyProtection="1">
      <alignment horizontal="left" vertical="center"/>
      <protection locked="0"/>
    </xf>
    <xf numFmtId="0" fontId="15" fillId="0" borderId="0" xfId="0" applyFont="1" applyAlignment="1">
      <alignment horizontal="left" vertical="center"/>
    </xf>
    <xf numFmtId="0" fontId="23" fillId="0" borderId="0" xfId="0" applyFont="1" applyAlignment="1" applyProtection="1">
      <alignment horizontal="center"/>
      <protection locked="0"/>
    </xf>
    <xf numFmtId="0" fontId="15" fillId="2" borderId="0" xfId="0" applyFont="1" applyFill="1" applyAlignment="1" applyProtection="1">
      <alignment horizontal="left" vertical="center"/>
      <protection locked="0"/>
    </xf>
    <xf numFmtId="0" fontId="26" fillId="0" borderId="0" xfId="0" applyFont="1" applyAlignment="1">
      <alignment horizontal="right" vertical="center"/>
    </xf>
    <xf numFmtId="0" fontId="11" fillId="2" borderId="0" xfId="0" applyFont="1" applyFill="1" applyAlignment="1" applyProtection="1">
      <alignment horizontal="left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5</xdr:col>
      <xdr:colOff>34272</xdr:colOff>
      <xdr:row>5</xdr:row>
      <xdr:rowOff>186690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6B9541-2ED7-4542-A013-827F746F2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3076556" cy="1133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99060</xdr:colOff>
      <xdr:row>1</xdr:row>
      <xdr:rowOff>87630</xdr:rowOff>
    </xdr:from>
    <xdr:to>
      <xdr:col>11</xdr:col>
      <xdr:colOff>2200</xdr:colOff>
      <xdr:row>7</xdr:row>
      <xdr:rowOff>2627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F7F7E4-8CED-4C34-8075-9ABE78C1E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18760" y="278130"/>
          <a:ext cx="3303565" cy="104974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76201</xdr:colOff>
      <xdr:row>0</xdr:row>
      <xdr:rowOff>1</xdr:rowOff>
    </xdr:from>
    <xdr:to>
      <xdr:col>5</xdr:col>
      <xdr:colOff>124460</xdr:colOff>
      <xdr:row>7</xdr:row>
      <xdr:rowOff>1746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E46752D-F5E5-6C4D-2D4F-C55B721CC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1" y="1"/>
          <a:ext cx="3566159" cy="1311750"/>
        </a:xfrm>
        <a:prstGeom prst="rect">
          <a:avLst/>
        </a:prstGeom>
      </xdr:spPr>
    </xdr:pic>
    <xdr:clientData/>
  </xdr:twoCellAnchor>
  <xdr:twoCellAnchor>
    <xdr:from>
      <xdr:col>5</xdr:col>
      <xdr:colOff>312420</xdr:colOff>
      <xdr:row>169</xdr:row>
      <xdr:rowOff>129540</xdr:rowOff>
    </xdr:from>
    <xdr:to>
      <xdr:col>5</xdr:col>
      <xdr:colOff>601980</xdr:colOff>
      <xdr:row>171</xdr:row>
      <xdr:rowOff>38100</xdr:rowOff>
    </xdr:to>
    <xdr:sp macro="" textlink="">
      <xdr:nvSpPr>
        <xdr:cNvPr id="3" name="Text Box 9">
          <a:extLst>
            <a:ext uri="{FF2B5EF4-FFF2-40B4-BE49-F238E27FC236}">
              <a16:creationId xmlns:a16="http://schemas.microsoft.com/office/drawing/2014/main" id="{86A72E8E-7750-4242-9DFB-962059069555}"/>
            </a:ext>
          </a:extLst>
        </xdr:cNvPr>
        <xdr:cNvSpPr txBox="1">
          <a:spLocks noChangeArrowheads="1"/>
        </xdr:cNvSpPr>
      </xdr:nvSpPr>
      <xdr:spPr bwMode="auto">
        <a:xfrm>
          <a:off x="4001770" y="32263715"/>
          <a:ext cx="283210" cy="273685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 </a:t>
          </a:r>
        </a:p>
      </xdr:txBody>
    </xdr:sp>
    <xdr:clientData/>
  </xdr:twoCellAnchor>
  <xdr:twoCellAnchor>
    <xdr:from>
      <xdr:col>3</xdr:col>
      <xdr:colOff>502920</xdr:colOff>
      <xdr:row>161</xdr:row>
      <xdr:rowOff>22860</xdr:rowOff>
    </xdr:from>
    <xdr:to>
      <xdr:col>9</xdr:col>
      <xdr:colOff>1310640</xdr:colOff>
      <xdr:row>164</xdr:row>
      <xdr:rowOff>7620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3F380EC9-0D14-45A1-85DC-5C7121670813}"/>
            </a:ext>
          </a:extLst>
        </xdr:cNvPr>
        <xdr:cNvSpPr txBox="1">
          <a:spLocks noChangeArrowheads="1"/>
        </xdr:cNvSpPr>
      </xdr:nvSpPr>
      <xdr:spPr bwMode="auto">
        <a:xfrm>
          <a:off x="2287270" y="30715585"/>
          <a:ext cx="5678170" cy="527685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 </a:t>
          </a:r>
        </a:p>
      </xdr:txBody>
    </xdr:sp>
    <xdr:clientData/>
  </xdr:twoCellAnchor>
  <xdr:twoCellAnchor>
    <xdr:from>
      <xdr:col>5</xdr:col>
      <xdr:colOff>318135</xdr:colOff>
      <xdr:row>171</xdr:row>
      <xdr:rowOff>142875</xdr:rowOff>
    </xdr:from>
    <xdr:to>
      <xdr:col>5</xdr:col>
      <xdr:colOff>603885</xdr:colOff>
      <xdr:row>173</xdr:row>
      <xdr:rowOff>34290</xdr:rowOff>
    </xdr:to>
    <xdr:sp macro="" textlink="">
      <xdr:nvSpPr>
        <xdr:cNvPr id="6" name="Text Box 12">
          <a:extLst>
            <a:ext uri="{FF2B5EF4-FFF2-40B4-BE49-F238E27FC236}">
              <a16:creationId xmlns:a16="http://schemas.microsoft.com/office/drawing/2014/main" id="{0A52326D-DC2D-4B2F-8D2C-8A71921BFF02}"/>
            </a:ext>
          </a:extLst>
        </xdr:cNvPr>
        <xdr:cNvSpPr txBox="1">
          <a:spLocks noChangeArrowheads="1"/>
        </xdr:cNvSpPr>
      </xdr:nvSpPr>
      <xdr:spPr bwMode="auto">
        <a:xfrm>
          <a:off x="4001135" y="32639000"/>
          <a:ext cx="285750" cy="253365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 </a:t>
          </a:r>
        </a:p>
      </xdr:txBody>
    </xdr:sp>
    <xdr:clientData/>
  </xdr:twoCellAnchor>
  <xdr:twoCellAnchor>
    <xdr:from>
      <xdr:col>5</xdr:col>
      <xdr:colOff>321945</xdr:colOff>
      <xdr:row>173</xdr:row>
      <xdr:rowOff>152400</xdr:rowOff>
    </xdr:from>
    <xdr:to>
      <xdr:col>5</xdr:col>
      <xdr:colOff>607695</xdr:colOff>
      <xdr:row>175</xdr:row>
      <xdr:rowOff>62865</xdr:rowOff>
    </xdr:to>
    <xdr:sp macro="" textlink="">
      <xdr:nvSpPr>
        <xdr:cNvPr id="11" name="Text Box 12">
          <a:extLst>
            <a:ext uri="{FF2B5EF4-FFF2-40B4-BE49-F238E27FC236}">
              <a16:creationId xmlns:a16="http://schemas.microsoft.com/office/drawing/2014/main" id="{07DE3F18-82A2-4DF7-86A9-4CA39EFC7A38}"/>
            </a:ext>
          </a:extLst>
        </xdr:cNvPr>
        <xdr:cNvSpPr txBox="1">
          <a:spLocks noChangeArrowheads="1"/>
        </xdr:cNvSpPr>
      </xdr:nvSpPr>
      <xdr:spPr bwMode="auto">
        <a:xfrm>
          <a:off x="4008120" y="33013650"/>
          <a:ext cx="285750" cy="275590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 </a:t>
          </a:r>
        </a:p>
      </xdr:txBody>
    </xdr:sp>
    <xdr:clientData/>
  </xdr:twoCellAnchor>
  <xdr:twoCellAnchor>
    <xdr:from>
      <xdr:col>5</xdr:col>
      <xdr:colOff>323850</xdr:colOff>
      <xdr:row>167</xdr:row>
      <xdr:rowOff>142875</xdr:rowOff>
    </xdr:from>
    <xdr:to>
      <xdr:col>5</xdr:col>
      <xdr:colOff>607060</xdr:colOff>
      <xdr:row>169</xdr:row>
      <xdr:rowOff>54610</xdr:rowOff>
    </xdr:to>
    <xdr:sp macro="" textlink="">
      <xdr:nvSpPr>
        <xdr:cNvPr id="12" name="Text Box 9">
          <a:extLst>
            <a:ext uri="{FF2B5EF4-FFF2-40B4-BE49-F238E27FC236}">
              <a16:creationId xmlns:a16="http://schemas.microsoft.com/office/drawing/2014/main" id="{07774D4F-150B-492C-A7A7-D8E4F86CD9D6}"/>
            </a:ext>
          </a:extLst>
        </xdr:cNvPr>
        <xdr:cNvSpPr txBox="1">
          <a:spLocks noChangeArrowheads="1"/>
        </xdr:cNvSpPr>
      </xdr:nvSpPr>
      <xdr:spPr bwMode="auto">
        <a:xfrm>
          <a:off x="4010025" y="31915100"/>
          <a:ext cx="283210" cy="276860"/>
        </a:xfrm>
        <a:prstGeom prst="rect">
          <a:avLst/>
        </a:prstGeom>
        <a:solidFill>
          <a:srgbClr val="FFFFFF"/>
        </a:solidFill>
        <a:ln w="63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 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648C-4543-4715-8285-42D790E77EA9}">
  <sheetPr codeName="Sheet1"/>
  <dimension ref="A1:O143"/>
  <sheetViews>
    <sheetView showRuler="0" workbookViewId="0">
      <selection activeCell="L18" sqref="L18"/>
    </sheetView>
  </sheetViews>
  <sheetFormatPr defaultRowHeight="14.5" x14ac:dyDescent="0.35"/>
  <cols>
    <col min="6" max="6" width="15.7265625" customWidth="1"/>
    <col min="12" max="12" width="10.453125" customWidth="1"/>
    <col min="13" max="13" width="13.26953125" customWidth="1"/>
  </cols>
  <sheetData>
    <row r="1" spans="1:13" x14ac:dyDescent="0.35">
      <c r="A1" s="201" t="s">
        <v>0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</row>
    <row r="2" spans="1:13" ht="15" customHeight="1" x14ac:dyDescent="0.3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</row>
    <row r="3" spans="1:13" ht="15" customHeight="1" x14ac:dyDescent="0.35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</row>
    <row r="4" spans="1:13" ht="15" customHeight="1" x14ac:dyDescent="0.3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</row>
    <row r="5" spans="1:13" ht="15" customHeight="1" x14ac:dyDescent="0.35">
      <c r="A5" s="201"/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</row>
    <row r="6" spans="1:13" ht="15" customHeight="1" x14ac:dyDescent="0.35">
      <c r="A6" s="201"/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</row>
    <row r="7" spans="1:13" ht="19.5" x14ac:dyDescent="0.35">
      <c r="A7" s="122" t="s">
        <v>123</v>
      </c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</row>
    <row r="9" spans="1:13" ht="16" x14ac:dyDescent="0.35">
      <c r="A9" s="198" t="s">
        <v>1</v>
      </c>
      <c r="B9" s="198"/>
      <c r="C9" s="198"/>
      <c r="D9" s="198"/>
      <c r="E9" s="198"/>
      <c r="F9" s="202" t="s">
        <v>138</v>
      </c>
      <c r="G9" s="202"/>
      <c r="H9" s="202"/>
    </row>
    <row r="11" spans="1:13" ht="16" x14ac:dyDescent="0.35">
      <c r="A11" s="198" t="s">
        <v>2</v>
      </c>
      <c r="B11" s="198"/>
      <c r="C11" s="198"/>
      <c r="D11" s="198"/>
      <c r="E11" s="198"/>
      <c r="F11" s="200" t="s">
        <v>96</v>
      </c>
      <c r="G11" s="200"/>
      <c r="H11" s="200"/>
      <c r="I11" s="200"/>
      <c r="J11" s="200"/>
    </row>
    <row r="12" spans="1:13" ht="16" x14ac:dyDescent="0.35">
      <c r="A12" s="198" t="s">
        <v>3</v>
      </c>
      <c r="B12" s="198"/>
      <c r="C12" s="198"/>
      <c r="D12" s="198"/>
      <c r="E12" s="198"/>
      <c r="F12" s="197" t="s">
        <v>97</v>
      </c>
      <c r="G12" s="197"/>
      <c r="H12" s="197"/>
      <c r="I12" s="197"/>
      <c r="J12" s="197"/>
    </row>
    <row r="13" spans="1:13" ht="16" x14ac:dyDescent="0.35">
      <c r="A13" s="198"/>
      <c r="B13" s="198"/>
      <c r="C13" s="198"/>
      <c r="D13" s="198"/>
      <c r="E13" s="198"/>
      <c r="F13" s="200" t="s">
        <v>98</v>
      </c>
      <c r="G13" s="200"/>
      <c r="H13" s="200"/>
      <c r="I13" s="200"/>
      <c r="J13" s="200"/>
    </row>
    <row r="14" spans="1:13" ht="16" x14ac:dyDescent="0.35">
      <c r="A14" s="198"/>
      <c r="B14" s="198"/>
      <c r="C14" s="198"/>
      <c r="D14" s="198"/>
      <c r="E14" s="198"/>
      <c r="F14" s="200" t="s">
        <v>93</v>
      </c>
      <c r="G14" s="200"/>
      <c r="H14" s="200"/>
      <c r="I14" s="200"/>
      <c r="J14" s="200"/>
    </row>
    <row r="15" spans="1:13" ht="16" x14ac:dyDescent="0.35">
      <c r="A15" s="198"/>
      <c r="B15" s="198"/>
      <c r="C15" s="198"/>
      <c r="D15" s="198"/>
      <c r="E15" s="198"/>
      <c r="F15" s="35" t="s">
        <v>99</v>
      </c>
      <c r="G15" s="22"/>
      <c r="H15" s="22"/>
      <c r="I15" s="22"/>
      <c r="J15" s="22"/>
    </row>
    <row r="16" spans="1:13" ht="16" x14ac:dyDescent="0.35">
      <c r="A16" s="198"/>
      <c r="B16" s="198"/>
      <c r="C16" s="198"/>
      <c r="D16" s="198"/>
      <c r="E16" s="198"/>
      <c r="F16" s="35" t="s">
        <v>100</v>
      </c>
      <c r="G16" s="22"/>
      <c r="H16" s="22"/>
      <c r="I16" s="22"/>
      <c r="J16" s="22"/>
    </row>
    <row r="17" spans="1:15" ht="16" x14ac:dyDescent="0.35">
      <c r="A17" s="198"/>
      <c r="B17" s="198"/>
      <c r="C17" s="198"/>
      <c r="D17" s="198"/>
      <c r="E17" s="198"/>
      <c r="F17" s="62"/>
      <c r="G17" s="22"/>
      <c r="H17" s="22"/>
      <c r="I17" s="22"/>
      <c r="J17" s="22"/>
    </row>
    <row r="18" spans="1:15" ht="16" x14ac:dyDescent="0.35">
      <c r="A18" s="198" t="s">
        <v>4</v>
      </c>
      <c r="B18" s="198"/>
      <c r="C18" s="198"/>
      <c r="D18" s="198"/>
      <c r="E18" s="198"/>
      <c r="F18" s="197" t="str">
        <f>F11</f>
        <v>Marilyn Kannemeyer</v>
      </c>
      <c r="G18" s="197"/>
      <c r="H18" s="197"/>
      <c r="I18" s="197"/>
      <c r="J18" s="197"/>
    </row>
    <row r="19" spans="1:15" ht="16" x14ac:dyDescent="0.35">
      <c r="A19" s="198" t="s">
        <v>5</v>
      </c>
      <c r="B19" s="198"/>
      <c r="C19" s="198"/>
      <c r="D19" s="198"/>
      <c r="E19" s="198"/>
      <c r="F19" s="24">
        <v>75000</v>
      </c>
      <c r="G19" s="25"/>
      <c r="H19" s="23"/>
    </row>
    <row r="20" spans="1:15" ht="16" x14ac:dyDescent="0.35">
      <c r="A20" s="88"/>
      <c r="B20" s="88"/>
      <c r="C20" s="88"/>
      <c r="D20" s="88"/>
      <c r="E20" s="88"/>
      <c r="F20" s="89"/>
      <c r="G20" s="199"/>
      <c r="H20" s="199"/>
      <c r="I20" s="199"/>
      <c r="J20" s="199"/>
    </row>
    <row r="21" spans="1:15" ht="16" x14ac:dyDescent="0.35">
      <c r="A21" s="88"/>
      <c r="B21" s="88"/>
      <c r="C21" s="88"/>
      <c r="D21" s="88"/>
      <c r="E21" s="88"/>
      <c r="F21" s="90"/>
      <c r="G21" s="25"/>
      <c r="H21" s="23"/>
      <c r="K21" s="60"/>
      <c r="L21" s="61"/>
      <c r="M21" s="61"/>
    </row>
    <row r="22" spans="1:15" ht="16" x14ac:dyDescent="0.35">
      <c r="A22" s="91"/>
      <c r="B22" s="91"/>
      <c r="C22" s="91"/>
      <c r="D22" s="91"/>
      <c r="E22" s="91"/>
      <c r="F22" s="91"/>
      <c r="G22" s="25"/>
      <c r="H22" s="23"/>
      <c r="K22" s="60"/>
      <c r="L22" s="61"/>
      <c r="M22" s="61"/>
    </row>
    <row r="23" spans="1:15" ht="16" x14ac:dyDescent="0.35">
      <c r="A23" s="91"/>
      <c r="B23" s="91"/>
      <c r="C23" s="91"/>
      <c r="D23" s="91"/>
      <c r="E23" s="91"/>
      <c r="F23" s="91"/>
      <c r="G23" s="25"/>
      <c r="H23" s="23"/>
      <c r="K23" s="60"/>
      <c r="L23" s="61"/>
      <c r="M23" s="61"/>
    </row>
    <row r="24" spans="1:15" ht="16" x14ac:dyDescent="0.35">
      <c r="A24" s="87" t="s">
        <v>6</v>
      </c>
      <c r="B24" s="87"/>
      <c r="C24" s="87"/>
      <c r="D24" s="87"/>
      <c r="E24" s="87"/>
      <c r="F24" s="94">
        <f ca="1">TODAY()</f>
        <v>46056</v>
      </c>
      <c r="G24" s="23"/>
      <c r="H24" s="23"/>
      <c r="K24" s="60"/>
      <c r="L24" s="61"/>
      <c r="M24" s="61"/>
    </row>
    <row r="25" spans="1:15" s="11" customFormat="1" ht="16" x14ac:dyDescent="0.35">
      <c r="A25" s="11" t="s">
        <v>7</v>
      </c>
      <c r="F25" s="78">
        <v>45962</v>
      </c>
      <c r="G25" s="26"/>
      <c r="H25" s="26"/>
      <c r="K25" s="60"/>
      <c r="L25" s="61"/>
      <c r="M25" s="61"/>
    </row>
    <row r="26" spans="1:15" s="11" customFormat="1" ht="16" x14ac:dyDescent="0.35">
      <c r="A26" s="11" t="s">
        <v>8</v>
      </c>
      <c r="F26" s="77" t="s">
        <v>116</v>
      </c>
      <c r="G26" s="26"/>
      <c r="H26" s="26"/>
      <c r="K26" s="60"/>
      <c r="L26" s="61"/>
      <c r="M26" s="61"/>
    </row>
    <row r="27" spans="1:15" ht="16" x14ac:dyDescent="0.35">
      <c r="A27" s="11" t="s">
        <v>9</v>
      </c>
      <c r="B27" s="11"/>
      <c r="C27" s="11"/>
      <c r="D27" s="11"/>
      <c r="E27" s="11"/>
      <c r="F27" s="78">
        <v>46326</v>
      </c>
      <c r="G27" s="40"/>
      <c r="H27" s="40"/>
      <c r="K27" s="60"/>
      <c r="L27" s="61"/>
      <c r="M27" s="61"/>
    </row>
    <row r="28" spans="1:15" ht="16" x14ac:dyDescent="0.35">
      <c r="A28" s="92"/>
      <c r="B28" s="92"/>
      <c r="C28" s="92"/>
      <c r="D28" s="92"/>
      <c r="E28" s="92"/>
      <c r="F28" s="93"/>
      <c r="G28" s="41"/>
      <c r="H28" s="41"/>
      <c r="I28" s="41"/>
      <c r="J28" s="41"/>
      <c r="K28" s="60"/>
      <c r="L28" s="61"/>
      <c r="M28" s="61"/>
      <c r="N28" s="41"/>
      <c r="O28" s="41"/>
    </row>
    <row r="29" spans="1:15" s="11" customFormat="1" ht="16" x14ac:dyDescent="0.35"/>
    <row r="30" spans="1:15" s="11" customFormat="1" ht="16" x14ac:dyDescent="0.35">
      <c r="A30" s="196" t="s">
        <v>10</v>
      </c>
      <c r="B30" s="196"/>
      <c r="C30" s="196"/>
      <c r="D30" s="196"/>
      <c r="E30" s="196"/>
      <c r="F30" s="11" t="s">
        <v>53</v>
      </c>
    </row>
    <row r="31" spans="1:15" s="11" customFormat="1" ht="16" x14ac:dyDescent="0.35">
      <c r="F31" s="30" t="s">
        <v>54</v>
      </c>
      <c r="G31" s="30"/>
      <c r="H31" s="30"/>
      <c r="I31" s="30"/>
      <c r="J31" s="30"/>
    </row>
    <row r="32" spans="1:15" s="11" customFormat="1" ht="16" x14ac:dyDescent="0.35">
      <c r="F32" s="11" t="s">
        <v>11</v>
      </c>
    </row>
    <row r="33" spans="6:6" s="11" customFormat="1" ht="16" x14ac:dyDescent="0.35">
      <c r="F33" s="11" t="s">
        <v>55</v>
      </c>
    </row>
    <row r="34" spans="6:6" s="11" customFormat="1" ht="16" x14ac:dyDescent="0.35"/>
    <row r="35" spans="6:6" s="11" customFormat="1" ht="16" x14ac:dyDescent="0.35"/>
    <row r="36" spans="6:6" s="11" customFormat="1" ht="16" x14ac:dyDescent="0.35"/>
    <row r="37" spans="6:6" s="11" customFormat="1" ht="16" x14ac:dyDescent="0.35"/>
    <row r="38" spans="6:6" s="11" customFormat="1" ht="16" x14ac:dyDescent="0.35"/>
    <row r="39" spans="6:6" s="11" customFormat="1" ht="16" x14ac:dyDescent="0.35"/>
    <row r="40" spans="6:6" s="11" customFormat="1" ht="16" x14ac:dyDescent="0.35"/>
    <row r="41" spans="6:6" s="11" customFormat="1" ht="16" x14ac:dyDescent="0.35"/>
    <row r="42" spans="6:6" s="11" customFormat="1" ht="16" x14ac:dyDescent="0.35"/>
    <row r="43" spans="6:6" s="11" customFormat="1" ht="16" x14ac:dyDescent="0.35"/>
    <row r="44" spans="6:6" s="11" customFormat="1" ht="16" x14ac:dyDescent="0.35"/>
    <row r="45" spans="6:6" s="11" customFormat="1" ht="16" x14ac:dyDescent="0.35"/>
    <row r="46" spans="6:6" s="11" customFormat="1" ht="16" x14ac:dyDescent="0.35"/>
    <row r="47" spans="6:6" s="11" customFormat="1" ht="16" x14ac:dyDescent="0.35"/>
    <row r="48" spans="6:6" s="11" customFormat="1" ht="16" x14ac:dyDescent="0.35"/>
    <row r="49" s="11" customFormat="1" ht="16" x14ac:dyDescent="0.35"/>
    <row r="50" s="11" customFormat="1" ht="16" x14ac:dyDescent="0.35"/>
    <row r="51" s="11" customFormat="1" ht="16" x14ac:dyDescent="0.35"/>
    <row r="52" s="11" customFormat="1" ht="16" x14ac:dyDescent="0.35"/>
    <row r="53" s="11" customFormat="1" ht="16" x14ac:dyDescent="0.35"/>
    <row r="54" s="11" customFormat="1" ht="16" x14ac:dyDescent="0.35"/>
    <row r="55" s="11" customFormat="1" ht="16" x14ac:dyDescent="0.35"/>
    <row r="56" s="11" customFormat="1" ht="16" x14ac:dyDescent="0.35"/>
    <row r="57" s="11" customFormat="1" ht="16" x14ac:dyDescent="0.35"/>
    <row r="58" s="11" customFormat="1" ht="16" x14ac:dyDescent="0.35"/>
    <row r="59" s="11" customFormat="1" ht="16" x14ac:dyDescent="0.35"/>
    <row r="60" s="11" customFormat="1" ht="16" x14ac:dyDescent="0.35"/>
    <row r="61" s="11" customFormat="1" ht="16" x14ac:dyDescent="0.35"/>
    <row r="62" s="11" customFormat="1" ht="16" x14ac:dyDescent="0.35"/>
    <row r="63" s="11" customFormat="1" ht="16" x14ac:dyDescent="0.35"/>
    <row r="64" s="11" customFormat="1" ht="16" x14ac:dyDescent="0.35"/>
    <row r="65" s="11" customFormat="1" ht="16" x14ac:dyDescent="0.35"/>
    <row r="66" s="11" customFormat="1" ht="16" x14ac:dyDescent="0.35"/>
    <row r="67" s="11" customFormat="1" ht="16" x14ac:dyDescent="0.35"/>
    <row r="68" s="11" customFormat="1" ht="16" x14ac:dyDescent="0.35"/>
    <row r="69" s="11" customFormat="1" ht="16" x14ac:dyDescent="0.35"/>
    <row r="70" s="11" customFormat="1" ht="16" x14ac:dyDescent="0.35"/>
    <row r="71" s="11" customFormat="1" ht="16" x14ac:dyDescent="0.35"/>
    <row r="72" s="11" customFormat="1" ht="16" x14ac:dyDescent="0.35"/>
    <row r="73" s="11" customFormat="1" ht="16" x14ac:dyDescent="0.35"/>
    <row r="74" s="11" customFormat="1" ht="16" x14ac:dyDescent="0.35"/>
    <row r="75" s="11" customFormat="1" ht="16" x14ac:dyDescent="0.35"/>
    <row r="76" s="11" customFormat="1" ht="16" x14ac:dyDescent="0.35"/>
    <row r="77" s="11" customFormat="1" ht="16" x14ac:dyDescent="0.35"/>
    <row r="78" s="11" customFormat="1" ht="16" x14ac:dyDescent="0.35"/>
    <row r="79" s="11" customFormat="1" ht="16" x14ac:dyDescent="0.35"/>
    <row r="80" s="11" customFormat="1" ht="16" x14ac:dyDescent="0.35"/>
    <row r="81" s="11" customFormat="1" ht="16" x14ac:dyDescent="0.35"/>
    <row r="82" s="11" customFormat="1" ht="16" x14ac:dyDescent="0.35"/>
    <row r="83" s="11" customFormat="1" ht="16" x14ac:dyDescent="0.35"/>
    <row r="84" s="11" customFormat="1" ht="16" x14ac:dyDescent="0.35"/>
    <row r="85" s="11" customFormat="1" ht="16" x14ac:dyDescent="0.35"/>
    <row r="86" s="11" customFormat="1" ht="16" x14ac:dyDescent="0.35"/>
    <row r="87" s="11" customFormat="1" ht="16" x14ac:dyDescent="0.35"/>
    <row r="88" s="11" customFormat="1" ht="16" x14ac:dyDescent="0.35"/>
    <row r="89" s="11" customFormat="1" ht="16" x14ac:dyDescent="0.35"/>
    <row r="90" s="11" customFormat="1" ht="16" x14ac:dyDescent="0.35"/>
    <row r="91" s="11" customFormat="1" ht="16" x14ac:dyDescent="0.35"/>
    <row r="92" s="11" customFormat="1" ht="16" x14ac:dyDescent="0.35"/>
    <row r="93" s="11" customFormat="1" ht="16" x14ac:dyDescent="0.35"/>
    <row r="94" s="11" customFormat="1" ht="16" x14ac:dyDescent="0.35"/>
    <row r="95" s="11" customFormat="1" ht="16" x14ac:dyDescent="0.35"/>
    <row r="96" s="11" customFormat="1" ht="16" x14ac:dyDescent="0.35"/>
    <row r="97" s="11" customFormat="1" ht="16" x14ac:dyDescent="0.35"/>
    <row r="98" s="11" customFormat="1" ht="16" x14ac:dyDescent="0.35"/>
    <row r="99" s="11" customFormat="1" ht="16" x14ac:dyDescent="0.35"/>
    <row r="100" s="11" customFormat="1" ht="16" x14ac:dyDescent="0.35"/>
    <row r="101" s="11" customFormat="1" ht="16" x14ac:dyDescent="0.35"/>
    <row r="102" s="11" customFormat="1" ht="16" x14ac:dyDescent="0.35"/>
    <row r="103" s="11" customFormat="1" ht="16" x14ac:dyDescent="0.35"/>
    <row r="104" s="11" customFormat="1" ht="16" x14ac:dyDescent="0.35"/>
    <row r="105" s="11" customFormat="1" ht="16" x14ac:dyDescent="0.35"/>
    <row r="106" s="11" customFormat="1" ht="16" x14ac:dyDescent="0.35"/>
    <row r="107" s="11" customFormat="1" ht="16" x14ac:dyDescent="0.35"/>
    <row r="108" s="11" customFormat="1" ht="16" x14ac:dyDescent="0.35"/>
    <row r="109" s="11" customFormat="1" ht="16" x14ac:dyDescent="0.35"/>
    <row r="110" s="11" customFormat="1" ht="16" x14ac:dyDescent="0.35"/>
    <row r="111" s="11" customFormat="1" ht="16" x14ac:dyDescent="0.35"/>
    <row r="112" s="11" customFormat="1" ht="16" x14ac:dyDescent="0.35"/>
    <row r="113" s="11" customFormat="1" ht="16" x14ac:dyDescent="0.35"/>
    <row r="114" s="11" customFormat="1" ht="16" x14ac:dyDescent="0.35"/>
    <row r="115" s="11" customFormat="1" ht="16" x14ac:dyDescent="0.35"/>
    <row r="116" s="11" customFormat="1" ht="16" x14ac:dyDescent="0.35"/>
    <row r="117" s="11" customFormat="1" ht="16" x14ac:dyDescent="0.35"/>
    <row r="118" s="11" customFormat="1" ht="16" x14ac:dyDescent="0.35"/>
    <row r="119" s="11" customFormat="1" ht="16" x14ac:dyDescent="0.35"/>
    <row r="120" s="11" customFormat="1" ht="16" x14ac:dyDescent="0.35"/>
    <row r="121" s="11" customFormat="1" ht="16" x14ac:dyDescent="0.35"/>
    <row r="122" s="11" customFormat="1" ht="16" x14ac:dyDescent="0.35"/>
    <row r="123" s="11" customFormat="1" ht="16" x14ac:dyDescent="0.35"/>
    <row r="124" s="11" customFormat="1" ht="16" x14ac:dyDescent="0.35"/>
    <row r="125" s="11" customFormat="1" ht="16" x14ac:dyDescent="0.35"/>
    <row r="126" s="11" customFormat="1" ht="16" x14ac:dyDescent="0.35"/>
    <row r="127" s="11" customFormat="1" ht="16" x14ac:dyDescent="0.35"/>
    <row r="128" s="11" customFormat="1" ht="16" x14ac:dyDescent="0.35"/>
    <row r="129" s="11" customFormat="1" ht="16" x14ac:dyDescent="0.35"/>
    <row r="130" s="11" customFormat="1" ht="16" x14ac:dyDescent="0.35"/>
    <row r="131" s="11" customFormat="1" ht="16" x14ac:dyDescent="0.35"/>
    <row r="132" s="11" customFormat="1" ht="16" x14ac:dyDescent="0.35"/>
    <row r="133" s="11" customFormat="1" ht="16" x14ac:dyDescent="0.35"/>
    <row r="134" s="11" customFormat="1" ht="16" x14ac:dyDescent="0.35"/>
    <row r="135" s="11" customFormat="1" ht="16" x14ac:dyDescent="0.35"/>
    <row r="136" s="11" customFormat="1" ht="16" x14ac:dyDescent="0.35"/>
    <row r="137" s="11" customFormat="1" ht="16" x14ac:dyDescent="0.35"/>
    <row r="138" s="11" customFormat="1" ht="16" x14ac:dyDescent="0.35"/>
    <row r="139" s="11" customFormat="1" ht="16" x14ac:dyDescent="0.35"/>
    <row r="140" s="11" customFormat="1" ht="16" x14ac:dyDescent="0.35"/>
    <row r="141" s="11" customFormat="1" ht="16" x14ac:dyDescent="0.35"/>
    <row r="142" s="11" customFormat="1" ht="16" x14ac:dyDescent="0.35"/>
    <row r="143" s="11" customFormat="1" ht="16" x14ac:dyDescent="0.35"/>
  </sheetData>
  <mergeCells count="20">
    <mergeCell ref="F14:J14"/>
    <mergeCell ref="A1:M6"/>
    <mergeCell ref="F9:H9"/>
    <mergeCell ref="A13:E13"/>
    <mergeCell ref="F11:J11"/>
    <mergeCell ref="F12:J12"/>
    <mergeCell ref="F13:J13"/>
    <mergeCell ref="A7:M7"/>
    <mergeCell ref="A15:E15"/>
    <mergeCell ref="A12:E12"/>
    <mergeCell ref="A14:E14"/>
    <mergeCell ref="A11:E11"/>
    <mergeCell ref="A9:E9"/>
    <mergeCell ref="F18:J18"/>
    <mergeCell ref="A30:E30"/>
    <mergeCell ref="A16:E16"/>
    <mergeCell ref="A18:E18"/>
    <mergeCell ref="A19:E19"/>
    <mergeCell ref="A17:E17"/>
    <mergeCell ref="G20:J2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47CD-FFD3-4A41-8F6E-3011E9E3679D}">
  <sheetPr codeName="Sheet2">
    <pageSetUpPr fitToPage="1"/>
  </sheetPr>
  <dimension ref="A1:Q650"/>
  <sheetViews>
    <sheetView tabSelected="1" topLeftCell="B124" zoomScaleNormal="100" workbookViewId="0">
      <selection activeCell="O167" sqref="O167"/>
    </sheetView>
  </sheetViews>
  <sheetFormatPr defaultRowHeight="14.5" x14ac:dyDescent="0.35"/>
  <cols>
    <col min="1" max="1" width="3.7265625" hidden="1" customWidth="1"/>
    <col min="2" max="2" width="12.26953125" customWidth="1"/>
    <col min="3" max="3" width="13.26953125" customWidth="1"/>
    <col min="4" max="4" width="13.7265625" customWidth="1"/>
    <col min="5" max="5" width="13.453125" customWidth="1"/>
    <col min="6" max="6" width="13" customWidth="1"/>
    <col min="7" max="7" width="12.54296875" customWidth="1"/>
    <col min="8" max="8" width="13.7265625" customWidth="1"/>
    <col min="9" max="9" width="9.54296875" customWidth="1"/>
    <col min="10" max="10" width="12.453125" customWidth="1"/>
    <col min="11" max="11" width="15.26953125" customWidth="1"/>
  </cols>
  <sheetData>
    <row r="1" spans="2:14" x14ac:dyDescent="0.35">
      <c r="B1" s="116"/>
      <c r="C1" s="116"/>
      <c r="D1" s="116"/>
      <c r="E1" s="116"/>
      <c r="F1" s="116"/>
      <c r="G1" s="116"/>
      <c r="H1" s="116"/>
      <c r="I1" s="116"/>
      <c r="J1" s="116"/>
      <c r="K1" s="116"/>
    </row>
    <row r="2" spans="2:14" x14ac:dyDescent="0.35">
      <c r="B2" s="116"/>
      <c r="C2" s="116"/>
      <c r="D2" s="116"/>
      <c r="E2" s="116"/>
      <c r="F2" s="116"/>
      <c r="G2" s="116"/>
      <c r="H2" s="116"/>
      <c r="I2" s="116"/>
      <c r="J2" s="116"/>
      <c r="K2" s="116"/>
    </row>
    <row r="3" spans="2:14" x14ac:dyDescent="0.35">
      <c r="B3" s="116"/>
      <c r="C3" s="116"/>
      <c r="D3" s="116"/>
      <c r="E3" s="116"/>
      <c r="F3" s="116"/>
      <c r="G3" s="116"/>
      <c r="H3" s="116"/>
      <c r="I3" s="116"/>
      <c r="J3" s="116"/>
      <c r="K3" s="116"/>
    </row>
    <row r="4" spans="2:14" x14ac:dyDescent="0.35">
      <c r="B4" s="116"/>
      <c r="C4" s="116"/>
      <c r="D4" s="116"/>
      <c r="E4" s="116"/>
      <c r="F4" s="116"/>
      <c r="G4" s="116"/>
      <c r="H4" s="116"/>
      <c r="I4" s="116"/>
      <c r="J4" s="116"/>
      <c r="K4" s="116"/>
    </row>
    <row r="5" spans="2:14" x14ac:dyDescent="0.35">
      <c r="B5" s="116"/>
      <c r="C5" s="116"/>
      <c r="D5" s="116"/>
      <c r="E5" s="116"/>
      <c r="F5" s="116"/>
      <c r="G5" s="116"/>
      <c r="H5" s="116"/>
      <c r="I5" s="116"/>
      <c r="J5" s="116"/>
      <c r="K5" s="116"/>
    </row>
    <row r="6" spans="2:14" x14ac:dyDescent="0.35">
      <c r="B6" s="116"/>
      <c r="C6" s="116"/>
      <c r="D6" s="116"/>
      <c r="E6" s="116"/>
      <c r="F6" s="116"/>
      <c r="G6" s="116"/>
      <c r="H6" s="116"/>
      <c r="I6" s="116"/>
      <c r="J6" s="116"/>
      <c r="K6" s="116"/>
    </row>
    <row r="7" spans="2:14" x14ac:dyDescent="0.35">
      <c r="B7" s="116"/>
      <c r="C7" s="116"/>
      <c r="D7" s="116"/>
      <c r="E7" s="116"/>
      <c r="F7" s="116"/>
      <c r="G7" s="116"/>
      <c r="H7" s="116"/>
      <c r="I7" s="116"/>
      <c r="J7" s="116"/>
      <c r="K7" s="116"/>
    </row>
    <row r="8" spans="2:14" x14ac:dyDescent="0.35">
      <c r="K8" s="4"/>
    </row>
    <row r="9" spans="2:14" x14ac:dyDescent="0.35">
      <c r="K9" s="4"/>
    </row>
    <row r="10" spans="2:14" x14ac:dyDescent="0.35">
      <c r="K10" s="4"/>
    </row>
    <row r="11" spans="2:14" x14ac:dyDescent="0.35">
      <c r="J11" s="4"/>
    </row>
    <row r="12" spans="2:14" ht="19.5" x14ac:dyDescent="0.35">
      <c r="B12" s="122" t="s">
        <v>124</v>
      </c>
      <c r="C12" s="122"/>
      <c r="D12" s="122"/>
      <c r="E12" s="122"/>
      <c r="F12" s="122"/>
      <c r="G12" s="122"/>
      <c r="H12" s="122"/>
      <c r="I12" s="122"/>
      <c r="J12" s="122"/>
      <c r="K12" s="122"/>
      <c r="L12" s="96"/>
      <c r="M12" s="96"/>
      <c r="N12" s="96"/>
    </row>
    <row r="13" spans="2:14" ht="22.5" x14ac:dyDescent="0.35">
      <c r="B13" s="32"/>
      <c r="C13" s="32"/>
      <c r="D13" s="32"/>
      <c r="E13" s="32"/>
      <c r="F13" s="32"/>
      <c r="G13" s="32"/>
      <c r="H13" s="32"/>
    </row>
    <row r="14" spans="2:14" x14ac:dyDescent="0.35">
      <c r="B14" s="123" t="s">
        <v>12</v>
      </c>
      <c r="C14" s="123"/>
      <c r="E14" s="124">
        <f ca="1">'Client Info'!F24</f>
        <v>46056</v>
      </c>
      <c r="F14" s="124"/>
    </row>
    <row r="15" spans="2:14" x14ac:dyDescent="0.35">
      <c r="E15" s="8"/>
      <c r="F15" s="8"/>
      <c r="G15" s="5"/>
    </row>
    <row r="16" spans="2:14" x14ac:dyDescent="0.35">
      <c r="B16" s="120" t="s">
        <v>13</v>
      </c>
      <c r="C16" s="120"/>
      <c r="D16" s="120"/>
      <c r="E16" s="109" t="str">
        <f>'Client Info'!F11</f>
        <v>Marilyn Kannemeyer</v>
      </c>
      <c r="F16" s="109"/>
      <c r="G16" s="109"/>
      <c r="H16" s="109"/>
      <c r="I16" s="109"/>
      <c r="J16" s="109"/>
    </row>
    <row r="17" spans="1:11" x14ac:dyDescent="0.35">
      <c r="B17" s="120" t="s">
        <v>14</v>
      </c>
      <c r="C17" s="120"/>
      <c r="D17" s="120"/>
      <c r="E17" s="125" t="str">
        <f>'Client Info'!F12</f>
        <v>25 Kanna Road</v>
      </c>
      <c r="F17" s="125"/>
      <c r="G17" s="125"/>
      <c r="H17" s="125"/>
      <c r="I17" s="125"/>
      <c r="J17" s="125"/>
    </row>
    <row r="18" spans="1:11" x14ac:dyDescent="0.35">
      <c r="B18" s="120"/>
      <c r="C18" s="120"/>
      <c r="D18" s="120"/>
      <c r="E18" s="125" t="str">
        <f>'Client Info'!F13</f>
        <v>Belhar</v>
      </c>
      <c r="F18" s="125"/>
      <c r="G18" s="125"/>
      <c r="H18" s="125"/>
      <c r="I18" s="125"/>
      <c r="J18" s="125"/>
    </row>
    <row r="19" spans="1:11" x14ac:dyDescent="0.35">
      <c r="B19" s="120"/>
      <c r="C19" s="120"/>
      <c r="D19" s="120"/>
      <c r="E19" s="121" t="str" cm="1">
        <f t="array" ref="E19">'Client Info'!F14:F14</f>
        <v>Western Cape</v>
      </c>
      <c r="F19" s="121"/>
      <c r="G19" s="121"/>
      <c r="H19" s="121"/>
      <c r="I19" s="121"/>
      <c r="J19" s="121"/>
    </row>
    <row r="20" spans="1:11" x14ac:dyDescent="0.35">
      <c r="B20" s="63"/>
      <c r="C20" s="63"/>
      <c r="D20" s="63"/>
      <c r="E20" s="64" t="str">
        <f>'Client Info'!F15</f>
        <v>7493</v>
      </c>
      <c r="F20" s="65"/>
      <c r="G20" s="65"/>
      <c r="H20" s="65"/>
      <c r="I20" s="65"/>
      <c r="J20" s="65"/>
    </row>
    <row r="21" spans="1:11" ht="16.899999999999999" customHeight="1" x14ac:dyDescent="0.35">
      <c r="B21" s="120" t="s">
        <v>15</v>
      </c>
      <c r="C21" s="120"/>
      <c r="D21" s="120"/>
      <c r="E21" s="181" t="str">
        <f>'Client Info'!F16</f>
        <v>0728882033</v>
      </c>
      <c r="F21" s="182"/>
      <c r="G21" s="67"/>
      <c r="H21" s="67"/>
      <c r="I21" s="67"/>
      <c r="J21" s="67"/>
    </row>
    <row r="22" spans="1:11" ht="16.899999999999999" customHeight="1" x14ac:dyDescent="0.35">
      <c r="B22" s="194" t="s">
        <v>16</v>
      </c>
      <c r="C22" s="120"/>
      <c r="D22" s="120"/>
      <c r="E22" s="183"/>
      <c r="F22" s="183"/>
      <c r="G22" s="68"/>
      <c r="H22" s="68"/>
      <c r="I22" s="68"/>
      <c r="J22" s="68"/>
    </row>
    <row r="23" spans="1:11" x14ac:dyDescent="0.35">
      <c r="A23" s="1"/>
      <c r="B23" s="116"/>
      <c r="C23" s="116"/>
      <c r="D23" s="116"/>
      <c r="E23" s="116"/>
      <c r="F23" s="116"/>
      <c r="G23" s="116"/>
      <c r="H23" s="116"/>
      <c r="I23" s="116"/>
      <c r="J23" s="116"/>
    </row>
    <row r="24" spans="1:11" ht="15.5" x14ac:dyDescent="0.35">
      <c r="B24" s="7" t="s">
        <v>17</v>
      </c>
      <c r="C24" s="195" t="str">
        <f>'Client Info'!F11</f>
        <v>Marilyn Kannemeyer</v>
      </c>
      <c r="D24" s="109"/>
      <c r="E24" s="109"/>
      <c r="F24" s="109"/>
      <c r="G24" s="33"/>
      <c r="H24" s="33"/>
      <c r="I24" s="33"/>
      <c r="J24" s="33"/>
    </row>
    <row r="25" spans="1:11" ht="15.5" x14ac:dyDescent="0.35">
      <c r="B25" s="33"/>
      <c r="C25" s="34"/>
      <c r="D25" s="31"/>
      <c r="E25" s="31"/>
      <c r="F25" s="31"/>
      <c r="G25" s="33"/>
      <c r="H25" s="33"/>
      <c r="I25" s="33"/>
      <c r="J25" s="33"/>
    </row>
    <row r="26" spans="1:11" ht="16" x14ac:dyDescent="0.35">
      <c r="B26" s="196" t="s">
        <v>18</v>
      </c>
      <c r="C26" s="196"/>
      <c r="D26" s="196"/>
      <c r="E26" s="196"/>
      <c r="F26" s="196"/>
      <c r="G26" s="196"/>
      <c r="H26" s="196"/>
      <c r="I26" s="196"/>
      <c r="J26" s="196"/>
    </row>
    <row r="27" spans="1:11" x14ac:dyDescent="0.35">
      <c r="A27" s="6"/>
    </row>
    <row r="28" spans="1:11" s="28" customFormat="1" ht="15" customHeight="1" thickBot="1" x14ac:dyDescent="0.35">
      <c r="B28" s="109" t="s">
        <v>19</v>
      </c>
      <c r="C28" s="109"/>
      <c r="D28" s="109"/>
      <c r="E28" s="109"/>
      <c r="F28" s="109"/>
    </row>
    <row r="29" spans="1:11" s="28" customFormat="1" ht="15" customHeight="1" thickBot="1" x14ac:dyDescent="0.3">
      <c r="B29" s="117" t="s">
        <v>20</v>
      </c>
      <c r="C29" s="118"/>
      <c r="D29" s="118"/>
      <c r="E29" s="118"/>
      <c r="F29" s="118"/>
      <c r="G29" s="118"/>
      <c r="H29" s="118"/>
      <c r="I29" s="118"/>
      <c r="J29" s="119"/>
      <c r="K29" s="51">
        <f>'Client Info'!F19</f>
        <v>75000</v>
      </c>
    </row>
    <row r="30" spans="1:11" s="28" customFormat="1" ht="15" customHeight="1" thickBot="1" x14ac:dyDescent="0.3">
      <c r="B30" s="117" t="s">
        <v>118</v>
      </c>
      <c r="C30" s="118"/>
      <c r="D30" s="118"/>
      <c r="E30" s="118"/>
      <c r="F30" s="118"/>
      <c r="G30" s="118"/>
      <c r="H30" s="118"/>
      <c r="I30" s="118"/>
      <c r="J30" s="119"/>
      <c r="K30" s="52">
        <f>K29+'Client Info'!F21</f>
        <v>75000</v>
      </c>
    </row>
    <row r="31" spans="1:11" s="28" customFormat="1" ht="15" customHeight="1" thickBot="1" x14ac:dyDescent="0.3">
      <c r="B31" s="117" t="s">
        <v>21</v>
      </c>
      <c r="C31" s="118"/>
      <c r="D31" s="118"/>
      <c r="E31" s="118"/>
      <c r="F31" s="118"/>
      <c r="G31" s="118"/>
      <c r="H31" s="118"/>
      <c r="I31" s="118"/>
      <c r="J31" s="119"/>
      <c r="K31" s="53" t="str">
        <f>'Client Info'!F26</f>
        <v>1</v>
      </c>
    </row>
    <row r="32" spans="1:11" s="28" customFormat="1" ht="15" customHeight="1" thickBot="1" x14ac:dyDescent="0.3">
      <c r="B32" s="117" t="s">
        <v>22</v>
      </c>
      <c r="C32" s="118"/>
      <c r="D32" s="118"/>
      <c r="E32" s="118"/>
      <c r="F32" s="118"/>
      <c r="G32" s="118"/>
      <c r="H32" s="118"/>
      <c r="I32" s="118"/>
      <c r="J32" s="119"/>
      <c r="K32" s="54">
        <f>'Client Info'!F25</f>
        <v>45962</v>
      </c>
    </row>
    <row r="33" spans="1:17" s="28" customFormat="1" ht="15" customHeight="1" thickBot="1" x14ac:dyDescent="0.3">
      <c r="B33" s="117" t="s">
        <v>117</v>
      </c>
      <c r="C33" s="118"/>
      <c r="D33" s="118"/>
      <c r="E33" s="118"/>
      <c r="F33" s="118"/>
      <c r="G33" s="118"/>
      <c r="H33" s="118"/>
      <c r="I33" s="118"/>
      <c r="J33" s="119"/>
      <c r="K33" s="55">
        <f>I50</f>
        <v>9.7500000000000003E-2</v>
      </c>
    </row>
    <row r="34" spans="1:17" s="28" customFormat="1" ht="15" customHeight="1" thickBot="1" x14ac:dyDescent="0.3">
      <c r="B34" s="117" t="s">
        <v>77</v>
      </c>
      <c r="C34" s="118"/>
      <c r="D34" s="118"/>
      <c r="E34" s="118"/>
      <c r="F34" s="118"/>
      <c r="G34" s="118"/>
      <c r="H34" s="118"/>
      <c r="I34" s="118"/>
      <c r="J34" s="119"/>
      <c r="K34" s="56">
        <f>J50</f>
        <v>7312.5</v>
      </c>
    </row>
    <row r="35" spans="1:17" s="28" customFormat="1" ht="15" customHeight="1" thickBot="1" x14ac:dyDescent="0.3">
      <c r="B35" s="117" t="s">
        <v>23</v>
      </c>
      <c r="C35" s="118"/>
      <c r="D35" s="118"/>
      <c r="E35" s="118"/>
      <c r="F35" s="118"/>
      <c r="G35" s="118"/>
      <c r="H35" s="118"/>
      <c r="I35" s="118"/>
      <c r="J35" s="119"/>
      <c r="K35" s="53" t="s">
        <v>24</v>
      </c>
    </row>
    <row r="36" spans="1:17" ht="15" customHeight="1" thickBot="1" x14ac:dyDescent="0.4">
      <c r="A36" s="6"/>
      <c r="B36" s="57"/>
      <c r="C36" s="57"/>
      <c r="D36" s="57"/>
      <c r="E36" s="57"/>
      <c r="F36" s="57"/>
      <c r="G36" s="57"/>
      <c r="H36" s="57"/>
      <c r="I36" s="57"/>
      <c r="J36" s="57"/>
      <c r="K36" s="57"/>
    </row>
    <row r="37" spans="1:17" s="9" customFormat="1" ht="15" customHeight="1" thickBot="1" x14ac:dyDescent="0.3">
      <c r="A37" s="28"/>
      <c r="B37" s="117" t="s">
        <v>46</v>
      </c>
      <c r="C37" s="118"/>
      <c r="D37" s="118"/>
      <c r="E37" s="118"/>
      <c r="F37" s="118"/>
      <c r="G37" s="118"/>
      <c r="H37" s="118"/>
      <c r="I37" s="118"/>
      <c r="J37" s="119"/>
      <c r="K37" s="58">
        <f>'Client Info'!F25</f>
        <v>45962</v>
      </c>
    </row>
    <row r="38" spans="1:17" s="9" customFormat="1" ht="15" customHeight="1" thickBot="1" x14ac:dyDescent="0.3">
      <c r="A38" s="28"/>
      <c r="B38" s="117" t="s">
        <v>61</v>
      </c>
      <c r="C38" s="118"/>
      <c r="D38" s="118"/>
      <c r="E38" s="118"/>
      <c r="F38" s="118"/>
      <c r="G38" s="118"/>
      <c r="H38" s="118"/>
      <c r="I38" s="118"/>
      <c r="J38" s="119"/>
      <c r="K38" s="54">
        <f>'Client Info'!F27</f>
        <v>46326</v>
      </c>
    </row>
    <row r="39" spans="1:17" s="9" customFormat="1" ht="15" customHeight="1" thickBot="1" x14ac:dyDescent="0.3">
      <c r="A39" s="28"/>
      <c r="B39" s="117" t="s">
        <v>120</v>
      </c>
      <c r="C39" s="118"/>
      <c r="D39" s="118"/>
      <c r="E39" s="118"/>
      <c r="F39" s="118"/>
      <c r="G39" s="118"/>
      <c r="H39" s="118"/>
      <c r="I39" s="118"/>
      <c r="J39" s="119"/>
      <c r="K39" s="53" t="s">
        <v>25</v>
      </c>
    </row>
    <row r="40" spans="1:17" s="9" customFormat="1" ht="15" customHeight="1" thickBot="1" x14ac:dyDescent="0.3">
      <c r="A40" s="28"/>
      <c r="B40" s="117" t="s">
        <v>121</v>
      </c>
      <c r="C40" s="118"/>
      <c r="D40" s="118"/>
      <c r="E40" s="118"/>
      <c r="F40" s="118"/>
      <c r="G40" s="118"/>
      <c r="H40" s="118"/>
      <c r="I40" s="118"/>
      <c r="J40" s="119"/>
      <c r="K40" s="59">
        <v>1</v>
      </c>
    </row>
    <row r="41" spans="1:17" s="9" customFormat="1" ht="13.5" x14ac:dyDescent="0.25">
      <c r="A41" s="28"/>
      <c r="B41" s="28"/>
      <c r="C41" s="28"/>
      <c r="D41" s="28"/>
      <c r="E41" s="28"/>
      <c r="F41" s="28"/>
      <c r="G41" s="28"/>
      <c r="H41" s="28"/>
      <c r="I41" s="28"/>
      <c r="J41" s="28"/>
    </row>
    <row r="42" spans="1:17" s="9" customFormat="1" ht="13.5" x14ac:dyDescent="0.25">
      <c r="A42" s="28"/>
      <c r="B42" s="28"/>
      <c r="C42" s="28"/>
      <c r="D42" s="28"/>
      <c r="E42" s="28"/>
      <c r="F42" s="28"/>
      <c r="G42" s="28"/>
      <c r="H42" s="28"/>
      <c r="I42" s="28"/>
      <c r="J42" s="28"/>
    </row>
    <row r="43" spans="1:17" s="74" customFormat="1" ht="15" customHeight="1" x14ac:dyDescent="0.25">
      <c r="B43" s="131" t="s">
        <v>90</v>
      </c>
      <c r="C43" s="131"/>
      <c r="D43" s="131"/>
      <c r="E43" s="131"/>
      <c r="F43" s="131"/>
      <c r="H43" s="157" t="s">
        <v>91</v>
      </c>
      <c r="I43" s="157"/>
      <c r="J43" s="157"/>
      <c r="K43" s="157"/>
      <c r="L43" s="76"/>
      <c r="M43" s="76"/>
      <c r="N43" s="76"/>
      <c r="O43" s="76"/>
      <c r="P43" s="76"/>
      <c r="Q43" s="76"/>
    </row>
    <row r="44" spans="1:17" s="74" customFormat="1" ht="14.5" customHeight="1" x14ac:dyDescent="0.25">
      <c r="B44" s="131" t="s">
        <v>119</v>
      </c>
      <c r="C44" s="131"/>
      <c r="D44" s="131"/>
      <c r="E44" s="131"/>
      <c r="F44" s="131"/>
      <c r="G44" s="75"/>
      <c r="H44" s="157" t="s">
        <v>92</v>
      </c>
      <c r="I44" s="157"/>
      <c r="J44" s="157"/>
      <c r="K44" s="157"/>
      <c r="L44" s="76"/>
      <c r="M44" s="76"/>
      <c r="N44" s="76"/>
      <c r="O44" s="76"/>
      <c r="P44" s="76"/>
      <c r="Q44" s="76"/>
    </row>
    <row r="45" spans="1:17" s="9" customFormat="1" ht="13.5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</row>
    <row r="46" spans="1:17" s="9" customFormat="1" ht="20.149999999999999" customHeight="1" thickBot="1" x14ac:dyDescent="0.35">
      <c r="A46" s="28"/>
      <c r="B46" s="109" t="s">
        <v>26</v>
      </c>
      <c r="C46" s="109"/>
      <c r="D46" s="109"/>
      <c r="E46" s="109"/>
      <c r="F46" s="109"/>
      <c r="G46" s="28"/>
      <c r="H46" s="28"/>
      <c r="I46" s="28"/>
      <c r="J46" s="28"/>
    </row>
    <row r="47" spans="1:17" s="9" customFormat="1" ht="20.149999999999999" customHeight="1" thickBot="1" x14ac:dyDescent="0.3">
      <c r="B47" s="150" t="s">
        <v>27</v>
      </c>
      <c r="C47" s="148" t="s">
        <v>49</v>
      </c>
      <c r="D47" s="148"/>
      <c r="E47" s="148"/>
      <c r="F47" s="148"/>
      <c r="G47" s="148"/>
      <c r="H47" s="148"/>
      <c r="I47" s="148"/>
      <c r="J47" s="148"/>
      <c r="K47" s="149"/>
    </row>
    <row r="48" spans="1:17" s="9" customFormat="1" ht="20.149999999999999" customHeight="1" thickBot="1" x14ac:dyDescent="0.3">
      <c r="B48" s="151"/>
      <c r="C48" s="127" t="s">
        <v>47</v>
      </c>
      <c r="D48" s="127"/>
      <c r="E48" s="128"/>
      <c r="F48" s="145"/>
      <c r="G48" s="146"/>
      <c r="H48" s="147"/>
      <c r="I48" s="145" t="s">
        <v>122</v>
      </c>
      <c r="J48" s="146"/>
      <c r="K48" s="147"/>
    </row>
    <row r="49" spans="2:13" s="9" customFormat="1" ht="20.149999999999999" customHeight="1" x14ac:dyDescent="0.25">
      <c r="B49" s="151"/>
      <c r="C49" s="179" t="s">
        <v>76</v>
      </c>
      <c r="D49" s="180"/>
      <c r="E49" s="180"/>
      <c r="F49" s="170"/>
      <c r="G49" s="171"/>
      <c r="H49" s="172"/>
      <c r="I49" s="152" t="s">
        <v>88</v>
      </c>
      <c r="J49" s="153"/>
      <c r="K49" s="85" t="s">
        <v>89</v>
      </c>
    </row>
    <row r="50" spans="2:13" s="9" customFormat="1" ht="20.149999999999999" customHeight="1" x14ac:dyDescent="0.25">
      <c r="B50" s="84">
        <v>1</v>
      </c>
      <c r="C50" s="167">
        <f>K30</f>
        <v>75000</v>
      </c>
      <c r="D50" s="168"/>
      <c r="E50" s="169"/>
      <c r="F50" s="173"/>
      <c r="G50" s="174"/>
      <c r="H50" s="175"/>
      <c r="I50" s="86">
        <f>Sheet1!D5</f>
        <v>9.7500000000000003E-2</v>
      </c>
      <c r="J50" s="83">
        <f>C50*I50</f>
        <v>7312.5</v>
      </c>
      <c r="K50" s="95">
        <f>C50+J50</f>
        <v>82312.5</v>
      </c>
      <c r="M50" s="28"/>
    </row>
    <row r="51" spans="2:13" s="9" customFormat="1" ht="20.149999999999999" customHeight="1" thickBot="1" x14ac:dyDescent="0.3">
      <c r="B51" s="97"/>
      <c r="C51" s="161"/>
      <c r="D51" s="162"/>
      <c r="E51" s="163"/>
      <c r="F51" s="176"/>
      <c r="G51" s="177"/>
      <c r="H51" s="178"/>
      <c r="I51" s="164"/>
      <c r="J51" s="165"/>
      <c r="K51" s="166"/>
      <c r="M51" s="28"/>
    </row>
    <row r="52" spans="2:13" s="9" customFormat="1" ht="20.149999999999999" customHeight="1" x14ac:dyDescent="0.25">
      <c r="B52" s="79"/>
      <c r="C52" s="80"/>
      <c r="D52" s="80"/>
      <c r="E52" s="80"/>
      <c r="F52" s="81"/>
      <c r="G52" s="80"/>
      <c r="H52" s="80"/>
      <c r="I52" s="81"/>
      <c r="J52" s="80"/>
      <c r="K52" s="82"/>
      <c r="M52" s="28"/>
    </row>
    <row r="53" spans="2:13" s="9" customFormat="1" ht="13.5" x14ac:dyDescent="0.25">
      <c r="B53" s="28"/>
      <c r="C53" s="28"/>
      <c r="D53" s="28"/>
      <c r="E53" s="28"/>
      <c r="F53" s="28"/>
      <c r="G53" s="28"/>
      <c r="H53" s="28"/>
      <c r="I53" s="28"/>
      <c r="J53" s="28"/>
    </row>
    <row r="54" spans="2:13" s="74" customFormat="1" ht="20.149999999999999" customHeight="1" thickBot="1" x14ac:dyDescent="0.35">
      <c r="B54" s="109" t="s">
        <v>86</v>
      </c>
      <c r="C54" s="109"/>
      <c r="D54" s="109"/>
      <c r="E54" s="109"/>
      <c r="F54" s="109"/>
    </row>
    <row r="55" spans="2:13" s="74" customFormat="1" ht="20.149999999999999" customHeight="1" thickBot="1" x14ac:dyDescent="0.3">
      <c r="B55" s="158" t="s">
        <v>84</v>
      </c>
      <c r="C55" s="149"/>
      <c r="D55" s="158" t="s">
        <v>81</v>
      </c>
      <c r="E55" s="148"/>
      <c r="F55" s="148"/>
      <c r="G55" s="149"/>
      <c r="H55" s="158" t="s">
        <v>83</v>
      </c>
      <c r="I55" s="149"/>
      <c r="J55" s="158" t="s">
        <v>82</v>
      </c>
      <c r="K55" s="149"/>
    </row>
    <row r="56" spans="2:13" s="74" customFormat="1" ht="20.149999999999999" customHeight="1" thickBot="1" x14ac:dyDescent="0.3">
      <c r="B56" s="126" t="s">
        <v>94</v>
      </c>
      <c r="C56" s="128"/>
      <c r="D56" s="190" t="s">
        <v>95</v>
      </c>
      <c r="E56" s="190"/>
      <c r="F56" s="190"/>
      <c r="G56" s="191"/>
      <c r="H56" s="187" t="s">
        <v>85</v>
      </c>
      <c r="I56" s="188"/>
      <c r="J56" s="185">
        <v>1</v>
      </c>
      <c r="K56" s="186"/>
    </row>
    <row r="57" spans="2:13" s="74" customFormat="1" ht="20.149999999999999" customHeight="1" thickBot="1" x14ac:dyDescent="0.3">
      <c r="B57" s="126"/>
      <c r="C57" s="127"/>
      <c r="D57" s="187"/>
      <c r="E57" s="192"/>
      <c r="F57" s="192"/>
      <c r="G57" s="188"/>
      <c r="H57" s="187"/>
      <c r="I57" s="188"/>
      <c r="J57" s="187"/>
      <c r="K57" s="188"/>
    </row>
    <row r="58" spans="2:13" s="9" customFormat="1" ht="20.149999999999999" customHeight="1" x14ac:dyDescent="0.25">
      <c r="B58" s="73" t="s">
        <v>80</v>
      </c>
      <c r="C58" s="184" t="s">
        <v>87</v>
      </c>
      <c r="D58" s="184"/>
      <c r="E58" s="184"/>
      <c r="F58" s="184"/>
      <c r="G58" s="184"/>
      <c r="H58" s="184"/>
      <c r="I58" s="184"/>
      <c r="J58" s="184"/>
      <c r="K58" s="184"/>
      <c r="M58" s="28"/>
    </row>
    <row r="59" spans="2:13" s="9" customFormat="1" ht="13.5" x14ac:dyDescent="0.25">
      <c r="B59" s="28"/>
      <c r="C59" s="28"/>
      <c r="D59" s="28"/>
      <c r="E59" s="28"/>
      <c r="F59" s="28"/>
      <c r="G59" s="28"/>
      <c r="H59" s="28"/>
      <c r="I59" s="28"/>
      <c r="J59" s="28"/>
    </row>
    <row r="60" spans="2:13" s="28" customFormat="1" ht="15" x14ac:dyDescent="0.3">
      <c r="B60" s="130" t="s">
        <v>56</v>
      </c>
      <c r="C60" s="130"/>
      <c r="D60" s="130"/>
      <c r="E60" s="130"/>
      <c r="F60" s="130"/>
    </row>
    <row r="61" spans="2:13" s="28" customFormat="1" ht="13.5" x14ac:dyDescent="0.25">
      <c r="B61" s="134" t="s">
        <v>57</v>
      </c>
      <c r="C61" s="135"/>
      <c r="D61" s="135"/>
      <c r="E61" s="135"/>
      <c r="F61" s="135"/>
      <c r="G61" s="135"/>
      <c r="H61" s="135"/>
      <c r="I61" s="135"/>
      <c r="J61" s="135"/>
      <c r="K61" s="135"/>
    </row>
    <row r="62" spans="2:13" s="28" customFormat="1" ht="13.5" x14ac:dyDescent="0.25">
      <c r="B62" s="159" t="s">
        <v>58</v>
      </c>
      <c r="C62" s="159"/>
      <c r="D62" s="159"/>
      <c r="E62" s="159"/>
      <c r="F62" s="159"/>
      <c r="G62" s="159"/>
      <c r="H62" s="159"/>
      <c r="I62" s="159"/>
      <c r="J62" s="159"/>
      <c r="K62" s="159"/>
    </row>
    <row r="63" spans="2:13" s="28" customFormat="1" ht="13.5" x14ac:dyDescent="0.25"/>
    <row r="64" spans="2:13" s="28" customFormat="1" ht="13.5" x14ac:dyDescent="0.25">
      <c r="B64" s="136" t="s">
        <v>115</v>
      </c>
      <c r="C64" s="135"/>
      <c r="D64" s="135"/>
      <c r="E64" s="135"/>
      <c r="F64" s="135"/>
      <c r="G64" s="135"/>
      <c r="H64" s="135"/>
      <c r="I64" s="135"/>
      <c r="J64" s="135"/>
      <c r="K64" s="135"/>
    </row>
    <row r="65" spans="1:11" s="28" customFormat="1" ht="13.5" x14ac:dyDescent="0.25">
      <c r="B65" s="142" t="s">
        <v>101</v>
      </c>
      <c r="C65" s="160"/>
      <c r="D65" s="160"/>
      <c r="E65" s="160"/>
      <c r="F65" s="160"/>
      <c r="G65" s="160"/>
      <c r="H65" s="160"/>
      <c r="I65" s="160"/>
      <c r="J65" s="160"/>
      <c r="K65" s="160"/>
    </row>
    <row r="66" spans="1:11" s="28" customFormat="1" ht="13.5" x14ac:dyDescent="0.25"/>
    <row r="67" spans="1:11" s="28" customFormat="1" ht="13.5" x14ac:dyDescent="0.25">
      <c r="B67" s="141" t="s">
        <v>59</v>
      </c>
      <c r="C67" s="189"/>
      <c r="D67" s="189"/>
      <c r="E67" s="189"/>
      <c r="F67" s="189"/>
      <c r="G67" s="189"/>
      <c r="H67" s="189"/>
      <c r="I67" s="189"/>
      <c r="J67" s="189"/>
      <c r="K67" s="189"/>
    </row>
    <row r="68" spans="1:11" s="28" customFormat="1" ht="13.5" x14ac:dyDescent="0.25">
      <c r="B68" s="144" t="s">
        <v>60</v>
      </c>
      <c r="C68" s="144"/>
      <c r="D68" s="144"/>
      <c r="E68" s="144"/>
      <c r="F68" s="144"/>
      <c r="G68" s="144"/>
      <c r="H68" s="144"/>
      <c r="I68" s="144"/>
      <c r="J68" s="144"/>
      <c r="K68" s="144"/>
    </row>
    <row r="69" spans="1:11" s="28" customFormat="1" ht="13.5" x14ac:dyDescent="0.25"/>
    <row r="70" spans="1:11" s="28" customFormat="1" ht="13.5" x14ac:dyDescent="0.25">
      <c r="A70" s="141" t="s">
        <v>103</v>
      </c>
      <c r="B70" s="135"/>
      <c r="C70" s="135"/>
      <c r="D70" s="135"/>
      <c r="E70" s="135"/>
      <c r="F70" s="135"/>
      <c r="G70" s="135"/>
      <c r="H70" s="135"/>
      <c r="I70" s="135"/>
      <c r="J70" s="135"/>
      <c r="K70" s="135"/>
    </row>
    <row r="71" spans="1:11" s="28" customFormat="1" ht="13.5" x14ac:dyDescent="0.25">
      <c r="B71" s="142" t="s">
        <v>102</v>
      </c>
      <c r="C71" s="144"/>
      <c r="D71" s="144"/>
      <c r="E71" s="144"/>
      <c r="F71" s="144"/>
      <c r="G71" s="144"/>
      <c r="H71" s="144"/>
      <c r="I71" s="144"/>
      <c r="J71" s="144"/>
      <c r="K71" s="144"/>
    </row>
    <row r="72" spans="1:11" s="28" customFormat="1" ht="13.5" x14ac:dyDescent="0.25"/>
    <row r="73" spans="1:11" s="28" customFormat="1" ht="13.5" x14ac:dyDescent="0.25">
      <c r="A73" s="141" t="s">
        <v>104</v>
      </c>
      <c r="B73" s="135"/>
      <c r="C73" s="135"/>
      <c r="D73" s="135"/>
      <c r="E73" s="135"/>
      <c r="F73" s="135"/>
      <c r="G73" s="135"/>
      <c r="H73" s="135"/>
      <c r="I73" s="135"/>
      <c r="J73" s="135"/>
      <c r="K73" s="135"/>
    </row>
    <row r="74" spans="1:11" s="28" customFormat="1" ht="13.5" x14ac:dyDescent="0.25">
      <c r="A74" s="37"/>
      <c r="B74" s="138" t="s">
        <v>105</v>
      </c>
      <c r="C74" s="139"/>
      <c r="D74" s="139"/>
      <c r="E74" s="139"/>
      <c r="F74" s="139"/>
      <c r="G74" s="139"/>
      <c r="H74" s="139"/>
      <c r="I74" s="139"/>
      <c r="J74" s="139"/>
      <c r="K74" s="139"/>
    </row>
    <row r="75" spans="1:11" s="28" customFormat="1" ht="13.5" x14ac:dyDescent="0.25"/>
    <row r="76" spans="1:11" s="28" customFormat="1" ht="13.5" customHeight="1" x14ac:dyDescent="0.25">
      <c r="B76" s="193" t="s">
        <v>132</v>
      </c>
      <c r="C76" s="139"/>
      <c r="D76" s="139"/>
      <c r="E76" s="139"/>
      <c r="F76" s="139"/>
      <c r="G76" s="139"/>
      <c r="H76" s="139"/>
      <c r="I76" s="139"/>
      <c r="J76" s="139"/>
      <c r="K76" s="139"/>
    </row>
    <row r="77" spans="1:11" s="28" customFormat="1" ht="13.5" customHeight="1" x14ac:dyDescent="0.25">
      <c r="B77" s="193" t="s">
        <v>131</v>
      </c>
      <c r="C77" s="138"/>
      <c r="D77" s="138"/>
      <c r="E77" s="138"/>
      <c r="F77" s="138"/>
      <c r="G77" s="138"/>
      <c r="H77" s="138"/>
      <c r="I77" s="138"/>
      <c r="J77" s="138"/>
      <c r="K77" s="138"/>
    </row>
    <row r="78" spans="1:11" s="28" customFormat="1" ht="13.5" customHeight="1" x14ac:dyDescent="0.25">
      <c r="B78" s="137"/>
      <c r="C78" s="135"/>
      <c r="D78" s="135"/>
      <c r="E78" s="135"/>
      <c r="F78" s="135"/>
      <c r="G78" s="135"/>
      <c r="H78" s="135"/>
      <c r="I78" s="135"/>
      <c r="J78" s="135"/>
      <c r="K78" s="135"/>
    </row>
    <row r="79" spans="1:11" s="28" customFormat="1" ht="13.5" customHeight="1" x14ac:dyDescent="0.25">
      <c r="B79" s="141" t="s">
        <v>106</v>
      </c>
      <c r="C79" s="135"/>
      <c r="D79" s="135"/>
      <c r="E79" s="135"/>
      <c r="F79" s="135"/>
      <c r="G79" s="135"/>
      <c r="H79" s="135"/>
      <c r="I79" s="135"/>
      <c r="J79" s="135"/>
      <c r="K79" s="135"/>
    </row>
    <row r="80" spans="1:11" s="28" customFormat="1" ht="13.5" x14ac:dyDescent="0.25">
      <c r="B80" s="141" t="s">
        <v>107</v>
      </c>
      <c r="C80" s="137"/>
      <c r="D80" s="137"/>
      <c r="E80" s="137"/>
      <c r="F80" s="137"/>
      <c r="G80" s="137"/>
      <c r="H80" s="137"/>
      <c r="I80" s="137"/>
      <c r="J80" s="137"/>
      <c r="K80" s="137"/>
    </row>
    <row r="81" spans="1:11" s="28" customFormat="1" ht="13.5" x14ac:dyDescent="0.25">
      <c r="B81" s="144" t="s">
        <v>62</v>
      </c>
      <c r="C81" s="144"/>
      <c r="D81" s="144"/>
      <c r="E81" s="144"/>
      <c r="F81" s="144"/>
      <c r="G81" s="144"/>
      <c r="H81" s="144"/>
      <c r="I81" s="144"/>
      <c r="J81" s="144"/>
      <c r="K81" s="144"/>
    </row>
    <row r="82" spans="1:11" s="28" customFormat="1" ht="13.5" x14ac:dyDescent="0.25"/>
    <row r="83" spans="1:11" s="28" customFormat="1" ht="13.5" customHeight="1" x14ac:dyDescent="0.25">
      <c r="B83" s="141" t="s">
        <v>108</v>
      </c>
      <c r="C83" s="135"/>
      <c r="D83" s="135"/>
      <c r="E83" s="135"/>
      <c r="F83" s="135"/>
      <c r="G83" s="135"/>
      <c r="H83" s="135"/>
      <c r="I83" s="135"/>
      <c r="J83" s="135"/>
      <c r="K83" s="135"/>
    </row>
    <row r="84" spans="1:11" s="28" customFormat="1" ht="13.5" customHeight="1" x14ac:dyDescent="0.25">
      <c r="B84" s="141" t="s">
        <v>109</v>
      </c>
      <c r="C84" s="137"/>
      <c r="D84" s="137"/>
      <c r="E84" s="137"/>
      <c r="F84" s="137"/>
      <c r="G84" s="137"/>
      <c r="H84" s="137"/>
      <c r="I84" s="137"/>
      <c r="J84" s="137"/>
      <c r="K84" s="137"/>
    </row>
    <row r="85" spans="1:11" s="28" customFormat="1" ht="13.5" customHeight="1" x14ac:dyDescent="0.25">
      <c r="B85" s="138" t="s">
        <v>110</v>
      </c>
      <c r="C85" s="140"/>
      <c r="D85" s="140"/>
      <c r="E85" s="140"/>
      <c r="F85" s="140"/>
      <c r="G85" s="140"/>
      <c r="H85" s="140"/>
      <c r="I85" s="140"/>
      <c r="J85" s="140"/>
      <c r="K85" s="140"/>
    </row>
    <row r="86" spans="1:11" s="28" customFormat="1" ht="13.5" x14ac:dyDescent="0.25">
      <c r="B86" s="27"/>
      <c r="C86" s="27"/>
      <c r="D86" s="27"/>
      <c r="E86" s="27"/>
      <c r="F86" s="27"/>
      <c r="G86" s="27"/>
      <c r="H86" s="27"/>
      <c r="I86" s="27"/>
      <c r="J86" s="27"/>
    </row>
    <row r="87" spans="1:11" s="28" customFormat="1" ht="13.5" customHeight="1" x14ac:dyDescent="0.25">
      <c r="B87" s="141" t="s">
        <v>112</v>
      </c>
      <c r="C87" s="135"/>
      <c r="D87" s="135"/>
      <c r="E87" s="135"/>
      <c r="F87" s="135"/>
      <c r="G87" s="135"/>
      <c r="H87" s="135"/>
      <c r="I87" s="135"/>
      <c r="J87" s="135"/>
      <c r="K87" s="135"/>
    </row>
    <row r="88" spans="1:11" s="28" customFormat="1" ht="13.5" customHeight="1" x14ac:dyDescent="0.25">
      <c r="B88" s="138" t="s">
        <v>111</v>
      </c>
      <c r="C88" s="138"/>
      <c r="D88" s="138"/>
      <c r="E88" s="138"/>
      <c r="F88" s="138"/>
      <c r="G88" s="138"/>
      <c r="H88" s="138"/>
      <c r="I88" s="138"/>
      <c r="J88" s="138"/>
      <c r="K88" s="138"/>
    </row>
    <row r="89" spans="1:11" s="27" customFormat="1" ht="13.5" customHeight="1" x14ac:dyDescent="0.25">
      <c r="A89" s="66"/>
    </row>
    <row r="90" spans="1:11" s="27" customFormat="1" ht="13.5" customHeight="1" x14ac:dyDescent="0.25">
      <c r="A90" s="66"/>
      <c r="B90" s="141" t="s">
        <v>113</v>
      </c>
      <c r="C90" s="135"/>
      <c r="D90" s="135"/>
      <c r="E90" s="135"/>
      <c r="F90" s="135"/>
      <c r="G90" s="135"/>
      <c r="H90" s="135"/>
      <c r="I90" s="135"/>
      <c r="J90" s="135"/>
      <c r="K90" s="135"/>
    </row>
    <row r="91" spans="1:11" s="27" customFormat="1" ht="13.5" customHeight="1" x14ac:dyDescent="0.25">
      <c r="A91" s="66"/>
      <c r="B91" s="142" t="s">
        <v>114</v>
      </c>
      <c r="C91" s="143"/>
      <c r="D91" s="143"/>
      <c r="E91" s="143"/>
      <c r="F91" s="143"/>
      <c r="G91" s="143"/>
      <c r="H91" s="143"/>
      <c r="I91" s="143"/>
      <c r="J91" s="143"/>
      <c r="K91" s="143"/>
    </row>
    <row r="92" spans="1:11" s="27" customFormat="1" ht="13.5" customHeight="1" x14ac:dyDescent="0.25">
      <c r="A92" s="66"/>
    </row>
    <row r="93" spans="1:11" s="9" customFormat="1" ht="13.5" x14ac:dyDescent="0.25">
      <c r="B93" s="28"/>
      <c r="C93" s="28"/>
      <c r="D93" s="28"/>
      <c r="E93" s="28"/>
      <c r="F93" s="28"/>
      <c r="G93" s="28"/>
      <c r="H93" s="28"/>
      <c r="I93" s="28"/>
      <c r="J93" s="28"/>
      <c r="K93" s="28"/>
    </row>
    <row r="94" spans="1:11" s="9" customFormat="1" ht="14" thickBot="1" x14ac:dyDescent="0.3">
      <c r="B94" s="28"/>
      <c r="C94" s="28"/>
      <c r="D94" s="28"/>
      <c r="E94" s="28"/>
      <c r="F94" s="28"/>
      <c r="G94" s="28"/>
      <c r="H94" s="28"/>
      <c r="I94" s="36"/>
      <c r="J94" s="36"/>
      <c r="K94" s="69"/>
    </row>
    <row r="95" spans="1:11" s="9" customFormat="1" ht="14" x14ac:dyDescent="0.3">
      <c r="B95" s="28"/>
      <c r="C95" s="28"/>
      <c r="D95" s="28"/>
      <c r="E95" s="28"/>
      <c r="F95" s="28"/>
      <c r="G95" s="28"/>
      <c r="H95" s="28"/>
      <c r="I95" s="155" t="s">
        <v>52</v>
      </c>
      <c r="J95" s="155"/>
      <c r="K95" s="155"/>
    </row>
    <row r="96" spans="1:11" s="9" customFormat="1" ht="13.5" x14ac:dyDescent="0.25">
      <c r="B96" s="28"/>
      <c r="C96" s="28"/>
      <c r="D96" s="28"/>
      <c r="E96" s="28"/>
      <c r="F96" s="28"/>
      <c r="G96" s="28"/>
      <c r="H96" s="28"/>
      <c r="I96" s="28"/>
      <c r="J96" s="28"/>
    </row>
    <row r="97" spans="2:11" s="28" customFormat="1" ht="15" x14ac:dyDescent="0.3">
      <c r="B97" s="130" t="s">
        <v>63</v>
      </c>
      <c r="C97" s="130"/>
      <c r="D97" s="130"/>
      <c r="E97" s="130"/>
      <c r="F97" s="130"/>
    </row>
    <row r="98" spans="2:11" s="28" customFormat="1" ht="13.5" customHeight="1" x14ac:dyDescent="0.25">
      <c r="B98" s="137" t="s">
        <v>64</v>
      </c>
      <c r="C98" s="135"/>
      <c r="D98" s="135"/>
      <c r="E98" s="135"/>
      <c r="F98" s="135"/>
      <c r="G98" s="135"/>
      <c r="H98" s="135"/>
      <c r="I98" s="135"/>
      <c r="J98" s="135"/>
      <c r="K98" s="135"/>
    </row>
    <row r="99" spans="2:11" s="28" customFormat="1" ht="13.5" customHeight="1" x14ac:dyDescent="0.25">
      <c r="B99" s="137" t="s">
        <v>65</v>
      </c>
      <c r="C99" s="135"/>
      <c r="D99" s="135"/>
      <c r="E99" s="135"/>
      <c r="F99" s="135"/>
      <c r="G99" s="135"/>
      <c r="H99" s="135"/>
      <c r="I99" s="135"/>
      <c r="J99" s="135"/>
      <c r="K99" s="135"/>
    </row>
    <row r="100" spans="2:11" s="28" customFormat="1" ht="13.5" customHeight="1" x14ac:dyDescent="0.25">
      <c r="B100" s="137" t="s">
        <v>66</v>
      </c>
      <c r="C100" s="137"/>
      <c r="D100" s="137"/>
      <c r="E100" s="137"/>
      <c r="F100" s="137"/>
      <c r="G100" s="137"/>
      <c r="H100" s="137"/>
      <c r="I100" s="137"/>
      <c r="J100" s="137"/>
      <c r="K100" s="137"/>
    </row>
    <row r="101" spans="2:11" s="28" customFormat="1" ht="13.5" customHeight="1" x14ac:dyDescent="0.25">
      <c r="B101" s="144" t="s">
        <v>67</v>
      </c>
      <c r="C101" s="144"/>
      <c r="D101" s="144"/>
      <c r="E101" s="144"/>
      <c r="F101" s="144"/>
      <c r="G101" s="144"/>
      <c r="H101" s="144"/>
      <c r="I101" s="144"/>
      <c r="J101" s="144"/>
      <c r="K101" s="144"/>
    </row>
    <row r="102" spans="2:11" s="28" customFormat="1" ht="13.5" x14ac:dyDescent="0.25"/>
    <row r="103" spans="2:11" s="28" customFormat="1" ht="15" x14ac:dyDescent="0.3">
      <c r="B103" s="130" t="s">
        <v>28</v>
      </c>
      <c r="C103" s="130"/>
      <c r="D103" s="130"/>
      <c r="E103" s="130"/>
      <c r="F103" s="130"/>
    </row>
    <row r="104" spans="2:11" s="28" customFormat="1" ht="13.5" x14ac:dyDescent="0.25">
      <c r="B104" s="123" t="s">
        <v>48</v>
      </c>
      <c r="C104" s="123"/>
      <c r="D104" s="123"/>
      <c r="E104" s="123"/>
      <c r="F104" s="123"/>
      <c r="G104" s="123"/>
      <c r="H104" s="123"/>
      <c r="I104" s="123"/>
      <c r="J104" s="123"/>
      <c r="K104" s="123"/>
    </row>
    <row r="105" spans="2:11" s="28" customFormat="1" ht="13.5" x14ac:dyDescent="0.25"/>
    <row r="106" spans="2:11" s="28" customFormat="1" ht="15" x14ac:dyDescent="0.3">
      <c r="B106" s="130" t="s">
        <v>29</v>
      </c>
      <c r="C106" s="130"/>
      <c r="D106" s="130"/>
      <c r="E106" s="130"/>
      <c r="F106" s="130"/>
    </row>
    <row r="107" spans="2:11" s="28" customFormat="1" ht="13.5" customHeight="1" x14ac:dyDescent="0.25">
      <c r="B107" s="129" t="s">
        <v>69</v>
      </c>
      <c r="C107" s="123"/>
      <c r="D107" s="123"/>
      <c r="E107" s="123"/>
      <c r="F107" s="123"/>
      <c r="G107" s="123"/>
      <c r="H107" s="123"/>
      <c r="I107" s="123"/>
      <c r="J107" s="123"/>
      <c r="K107" s="123"/>
    </row>
    <row r="108" spans="2:11" s="28" customFormat="1" ht="13.5" x14ac:dyDescent="0.25"/>
    <row r="109" spans="2:11" s="28" customFormat="1" ht="15" x14ac:dyDescent="0.3">
      <c r="B109" s="130" t="s">
        <v>70</v>
      </c>
      <c r="C109" s="130"/>
      <c r="D109" s="130"/>
      <c r="E109" s="130"/>
      <c r="F109" s="130"/>
    </row>
    <row r="110" spans="2:11" s="28" customFormat="1" ht="13.5" customHeight="1" x14ac:dyDescent="0.25">
      <c r="B110" s="156" t="s">
        <v>130</v>
      </c>
      <c r="C110" s="135"/>
      <c r="D110" s="135"/>
      <c r="E110" s="135"/>
      <c r="F110" s="135"/>
      <c r="G110" s="135"/>
      <c r="H110" s="135"/>
      <c r="I110" s="135"/>
      <c r="J110" s="135"/>
      <c r="K110" s="135"/>
    </row>
    <row r="111" spans="2:11" s="28" customFormat="1" ht="13.5" customHeight="1" x14ac:dyDescent="0.25">
      <c r="B111" s="137" t="s">
        <v>71</v>
      </c>
      <c r="C111" s="137"/>
      <c r="D111" s="137"/>
      <c r="E111" s="137"/>
      <c r="F111" s="137"/>
      <c r="G111" s="137"/>
      <c r="H111" s="137"/>
      <c r="I111" s="137"/>
      <c r="J111" s="137"/>
      <c r="K111" s="137"/>
    </row>
    <row r="112" spans="2:11" s="28" customFormat="1" ht="13.5" customHeight="1" x14ac:dyDescent="0.25">
      <c r="B112" s="137" t="s">
        <v>72</v>
      </c>
      <c r="C112" s="137"/>
      <c r="D112" s="137"/>
      <c r="E112" s="137"/>
      <c r="F112" s="137"/>
      <c r="G112" s="137"/>
      <c r="H112" s="137"/>
      <c r="I112" s="137"/>
      <c r="J112" s="137"/>
      <c r="K112" s="137"/>
    </row>
    <row r="113" spans="2:11" s="28" customFormat="1" ht="13.5" customHeight="1" x14ac:dyDescent="0.25">
      <c r="B113" s="129" t="s">
        <v>73</v>
      </c>
      <c r="C113" s="129"/>
      <c r="D113" s="129"/>
      <c r="E113" s="129"/>
      <c r="F113" s="129"/>
      <c r="G113" s="129"/>
      <c r="H113" s="129"/>
      <c r="I113" s="129"/>
      <c r="J113" s="129"/>
      <c r="K113" s="129"/>
    </row>
    <row r="114" spans="2:11" s="28" customFormat="1" ht="13.5" x14ac:dyDescent="0.25"/>
    <row r="115" spans="2:11" s="28" customFormat="1" ht="15" x14ac:dyDescent="0.3">
      <c r="B115" s="130" t="s">
        <v>30</v>
      </c>
      <c r="C115" s="130"/>
      <c r="D115" s="130"/>
      <c r="E115" s="130"/>
      <c r="F115" s="130"/>
    </row>
    <row r="116" spans="2:11" s="28" customFormat="1" ht="13.5" customHeight="1" x14ac:dyDescent="0.25">
      <c r="B116" s="129" t="s">
        <v>68</v>
      </c>
      <c r="C116" s="123"/>
      <c r="D116" s="123"/>
      <c r="E116" s="123"/>
      <c r="F116" s="123"/>
      <c r="G116" s="123"/>
      <c r="H116" s="123"/>
      <c r="I116" s="123"/>
      <c r="J116" s="123"/>
      <c r="K116" s="123"/>
    </row>
    <row r="117" spans="2:11" s="28" customFormat="1" ht="13.5" x14ac:dyDescent="0.25"/>
    <row r="118" spans="2:11" s="28" customFormat="1" ht="15" x14ac:dyDescent="0.3">
      <c r="B118" s="130" t="s">
        <v>31</v>
      </c>
      <c r="C118" s="130"/>
      <c r="D118" s="130"/>
      <c r="E118" s="130"/>
      <c r="F118" s="130"/>
    </row>
    <row r="119" spans="2:11" s="28" customFormat="1" ht="13.5" customHeight="1" x14ac:dyDescent="0.25">
      <c r="B119" s="137" t="s">
        <v>74</v>
      </c>
      <c r="C119" s="135"/>
      <c r="D119" s="135"/>
      <c r="E119" s="135"/>
      <c r="F119" s="135"/>
      <c r="G119" s="135"/>
      <c r="H119" s="135"/>
      <c r="I119" s="135"/>
      <c r="J119" s="135"/>
      <c r="K119" s="135"/>
    </row>
    <row r="120" spans="2:11" s="28" customFormat="1" ht="13.5" customHeight="1" x14ac:dyDescent="0.25">
      <c r="B120" s="144" t="s">
        <v>75</v>
      </c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 spans="2:11" s="28" customFormat="1" ht="13.5" x14ac:dyDescent="0.25"/>
    <row r="122" spans="2:11" s="28" customFormat="1" ht="15" x14ac:dyDescent="0.3">
      <c r="B122" s="130" t="s">
        <v>32</v>
      </c>
      <c r="C122" s="130"/>
      <c r="D122" s="130"/>
      <c r="E122" s="130"/>
      <c r="F122" s="130"/>
    </row>
    <row r="123" spans="2:11" s="28" customFormat="1" ht="13.5" x14ac:dyDescent="0.25">
      <c r="B123" s="123" t="s">
        <v>33</v>
      </c>
      <c r="C123" s="123"/>
      <c r="D123" s="123"/>
      <c r="E123" s="123"/>
      <c r="F123" s="123"/>
      <c r="G123" s="123"/>
      <c r="H123" s="123"/>
      <c r="I123" s="123"/>
      <c r="J123" s="123"/>
      <c r="K123" s="123"/>
    </row>
    <row r="124" spans="2:11" s="28" customFormat="1" ht="14" thickBot="1" x14ac:dyDescent="0.3">
      <c r="B124" s="37"/>
      <c r="C124" s="37"/>
      <c r="D124" s="37"/>
      <c r="E124" s="37"/>
      <c r="F124" s="37"/>
      <c r="G124" s="37"/>
      <c r="H124" s="37"/>
      <c r="I124" s="37"/>
      <c r="J124" s="37"/>
      <c r="K124" s="37"/>
    </row>
    <row r="125" spans="2:11" s="28" customFormat="1" ht="14" thickBot="1" x14ac:dyDescent="0.3">
      <c r="C125" s="126" t="s">
        <v>34</v>
      </c>
      <c r="D125" s="127"/>
      <c r="E125" s="127"/>
      <c r="F125" s="127"/>
      <c r="G125" s="127"/>
      <c r="H125" s="127"/>
      <c r="I125" s="127"/>
      <c r="J125" s="128"/>
    </row>
    <row r="126" spans="2:11" s="28" customFormat="1" ht="25.5" thickBot="1" x14ac:dyDescent="0.3">
      <c r="C126" s="126" t="s">
        <v>35</v>
      </c>
      <c r="D126" s="127"/>
      <c r="E126" s="128"/>
      <c r="F126" s="126"/>
      <c r="G126" s="127"/>
      <c r="H126" s="127"/>
      <c r="I126" s="128"/>
      <c r="J126" s="29" t="s">
        <v>36</v>
      </c>
    </row>
    <row r="127" spans="2:11" s="28" customFormat="1" ht="14" thickBot="1" x14ac:dyDescent="0.3">
      <c r="C127" s="126" t="s">
        <v>125</v>
      </c>
      <c r="D127" s="127"/>
      <c r="E127" s="128"/>
      <c r="F127" s="126"/>
      <c r="G127" s="128"/>
      <c r="H127" s="126" t="s">
        <v>126</v>
      </c>
      <c r="I127" s="128"/>
      <c r="J127" s="10" t="s">
        <v>127</v>
      </c>
    </row>
    <row r="128" spans="2:11" s="28" customFormat="1" ht="14" thickBot="1" x14ac:dyDescent="0.3">
      <c r="C128" s="98"/>
      <c r="D128" s="132"/>
      <c r="E128" s="132"/>
      <c r="F128" s="132"/>
      <c r="G128" s="132"/>
      <c r="H128" s="132"/>
      <c r="I128" s="132"/>
      <c r="J128" s="133"/>
    </row>
    <row r="129" spans="1:11" s="28" customFormat="1" ht="13.5" x14ac:dyDescent="0.25"/>
    <row r="130" spans="1:11" s="28" customFormat="1" ht="15" x14ac:dyDescent="0.3">
      <c r="B130" s="130" t="s">
        <v>37</v>
      </c>
      <c r="C130" s="130"/>
      <c r="D130" s="130"/>
      <c r="E130" s="130"/>
      <c r="F130" s="130"/>
    </row>
    <row r="131" spans="1:11" s="28" customFormat="1" ht="13.5" x14ac:dyDescent="0.25">
      <c r="B131" s="37" t="s">
        <v>38</v>
      </c>
      <c r="C131" s="37"/>
      <c r="D131" s="37"/>
      <c r="E131" s="37"/>
      <c r="F131" s="37"/>
      <c r="G131" s="37"/>
      <c r="H131" s="37"/>
      <c r="I131" s="37"/>
      <c r="J131" s="37"/>
      <c r="K131" s="27"/>
    </row>
    <row r="132" spans="1:11" s="28" customFormat="1" ht="14" thickBot="1" x14ac:dyDescent="0.3">
      <c r="B132" s="37"/>
      <c r="C132" s="37"/>
      <c r="D132" s="37"/>
      <c r="E132" s="37"/>
      <c r="F132" s="37"/>
      <c r="G132" s="37"/>
      <c r="H132" s="37"/>
      <c r="I132" s="37"/>
      <c r="J132" s="37"/>
      <c r="K132" s="27"/>
    </row>
    <row r="133" spans="1:11" s="28" customFormat="1" ht="14" thickBot="1" x14ac:dyDescent="0.3">
      <c r="C133" s="126" t="s">
        <v>37</v>
      </c>
      <c r="D133" s="127"/>
      <c r="E133" s="127"/>
      <c r="F133" s="127"/>
      <c r="G133" s="127"/>
      <c r="H133" s="127"/>
      <c r="I133" s="127"/>
      <c r="J133" s="128"/>
    </row>
    <row r="134" spans="1:11" s="28" customFormat="1" ht="14" thickBot="1" x14ac:dyDescent="0.3">
      <c r="C134" s="126" t="s">
        <v>37</v>
      </c>
      <c r="D134" s="127"/>
      <c r="E134" s="128"/>
      <c r="F134" s="126" t="s">
        <v>128</v>
      </c>
      <c r="G134" s="128"/>
      <c r="H134" s="126"/>
      <c r="I134" s="128"/>
      <c r="J134" s="10" t="s">
        <v>129</v>
      </c>
    </row>
    <row r="135" spans="1:11" s="28" customFormat="1" ht="14" thickBot="1" x14ac:dyDescent="0.3">
      <c r="C135" s="154"/>
      <c r="D135" s="132"/>
      <c r="E135" s="132"/>
      <c r="F135" s="132"/>
      <c r="G135" s="132"/>
      <c r="H135" s="132"/>
      <c r="I135" s="132"/>
      <c r="J135" s="133"/>
    </row>
    <row r="136" spans="1:11" s="28" customFormat="1" ht="13.5" x14ac:dyDescent="0.25"/>
    <row r="137" spans="1:11" s="9" customFormat="1" ht="13.5" x14ac:dyDescent="0.25">
      <c r="B137" s="28"/>
      <c r="C137" s="28"/>
      <c r="D137" s="28"/>
      <c r="E137" s="28"/>
      <c r="F137" s="28"/>
      <c r="G137" s="28"/>
      <c r="H137" s="28"/>
      <c r="I137" s="28"/>
      <c r="J137" s="28"/>
    </row>
    <row r="138" spans="1:11" s="9" customFormat="1" ht="13.5" x14ac:dyDescent="0.25">
      <c r="B138" s="143" t="s">
        <v>39</v>
      </c>
      <c r="C138" s="143"/>
      <c r="D138" s="143" t="str">
        <f>'Client Info'!F30</f>
        <v>Lionel Lottering</v>
      </c>
      <c r="E138" s="143"/>
      <c r="F138" s="143"/>
      <c r="G138" s="143"/>
      <c r="H138" s="28"/>
      <c r="I138" s="28"/>
      <c r="J138" s="28"/>
    </row>
    <row r="139" spans="1:11" s="9" customFormat="1" ht="13.5" x14ac:dyDescent="0.25">
      <c r="B139" s="28"/>
      <c r="C139" s="28"/>
      <c r="D139" s="28" t="str">
        <f>'Client Info'!F31</f>
        <v>Cell: 076 309 2590</v>
      </c>
      <c r="E139" s="28"/>
      <c r="F139" s="28"/>
      <c r="G139" s="28"/>
      <c r="H139" s="28"/>
      <c r="I139" s="28"/>
      <c r="J139" s="28"/>
    </row>
    <row r="140" spans="1:11" s="9" customFormat="1" ht="13.5" x14ac:dyDescent="0.25">
      <c r="A140" s="28"/>
      <c r="B140" s="28"/>
      <c r="C140" s="28"/>
      <c r="D140" s="28" t="str">
        <f>'Client Info'!F32</f>
        <v>Office: 0861 263 346</v>
      </c>
      <c r="E140" s="28"/>
      <c r="F140" s="28"/>
      <c r="G140" s="28"/>
      <c r="H140" s="28"/>
      <c r="I140" s="28"/>
      <c r="J140" s="28"/>
    </row>
    <row r="141" spans="1:11" s="9" customFormat="1" ht="13.5" x14ac:dyDescent="0.25">
      <c r="A141" s="28"/>
      <c r="B141" s="28"/>
      <c r="C141" s="28"/>
      <c r="D141" s="28" t="str">
        <f>'Client Info'!F33</f>
        <v>Email: lionell@opianfsgroup.com</v>
      </c>
      <c r="E141" s="28"/>
      <c r="F141" s="28"/>
      <c r="G141" s="28"/>
      <c r="H141" s="28"/>
      <c r="I141" s="28"/>
      <c r="J141" s="28"/>
    </row>
    <row r="142" spans="1:11" s="9" customFormat="1" ht="13.5" x14ac:dyDescent="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</row>
    <row r="143" spans="1:11" s="9" customFormat="1" ht="13.5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</row>
    <row r="144" spans="1:11" s="9" customFormat="1" ht="13.5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</row>
    <row r="145" spans="1:12" s="9" customFormat="1" ht="13.5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</row>
    <row r="146" spans="1:12" s="9" customFormat="1" ht="13.5" x14ac:dyDescent="0.25">
      <c r="A146" s="28"/>
      <c r="B146" s="2"/>
      <c r="C146" s="28"/>
      <c r="D146" s="28"/>
      <c r="E146" s="28"/>
      <c r="F146" s="28"/>
      <c r="G146" s="28"/>
      <c r="H146" s="28"/>
      <c r="I146" s="28"/>
      <c r="J146" s="28"/>
    </row>
    <row r="147" spans="1:12" s="9" customFormat="1" ht="13.5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</row>
    <row r="148" spans="1:12" s="9" customFormat="1" ht="13.5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</row>
    <row r="149" spans="1:12" s="9" customFormat="1" ht="13.5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</row>
    <row r="150" spans="1:12" s="9" customFormat="1" ht="13.5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</row>
    <row r="151" spans="1:12" x14ac:dyDescent="0.35">
      <c r="A151" s="3" t="s">
        <v>40</v>
      </c>
    </row>
    <row r="152" spans="1:12" x14ac:dyDescent="0.35">
      <c r="A152" s="2"/>
    </row>
    <row r="153" spans="1:12" ht="15" thickBot="1" x14ac:dyDescent="0.4">
      <c r="A153" s="2"/>
    </row>
    <row r="154" spans="1:12" x14ac:dyDescent="0.35">
      <c r="B154" s="105"/>
      <c r="C154" s="106"/>
      <c r="D154" s="106"/>
      <c r="E154" s="12"/>
      <c r="F154" s="12"/>
      <c r="G154" s="12"/>
      <c r="H154" s="12"/>
      <c r="I154" s="12"/>
      <c r="J154" s="12"/>
      <c r="K154" s="13"/>
    </row>
    <row r="155" spans="1:12" x14ac:dyDescent="0.35">
      <c r="B155" s="14"/>
      <c r="K155" s="15"/>
    </row>
    <row r="156" spans="1:12" x14ac:dyDescent="0.35">
      <c r="B156" s="107" t="s">
        <v>41</v>
      </c>
      <c r="C156" s="108"/>
      <c r="D156" s="109" t="str">
        <f>'Client Info'!F9</f>
        <v>OFDN-104-778-004</v>
      </c>
      <c r="E156" s="109"/>
      <c r="F156" s="109"/>
      <c r="G156" s="109" t="str">
        <f>'Client Info'!F11</f>
        <v>Marilyn Kannemeyer</v>
      </c>
      <c r="H156" s="109"/>
      <c r="I156" s="109"/>
      <c r="J156" s="7"/>
      <c r="K156" s="15"/>
    </row>
    <row r="157" spans="1:12" x14ac:dyDescent="0.35">
      <c r="B157" s="14"/>
      <c r="K157" s="15"/>
    </row>
    <row r="158" spans="1:12" ht="15" customHeight="1" x14ac:dyDescent="0.35">
      <c r="B158" s="110" t="s">
        <v>133</v>
      </c>
      <c r="C158" s="111"/>
      <c r="D158" s="111"/>
      <c r="E158" s="111"/>
      <c r="F158" s="111"/>
      <c r="G158" s="111"/>
      <c r="H158" s="111"/>
      <c r="I158" s="111"/>
      <c r="J158" s="111"/>
      <c r="K158" s="38"/>
      <c r="L158" s="20"/>
    </row>
    <row r="159" spans="1:12" ht="15" customHeight="1" x14ac:dyDescent="0.35">
      <c r="B159" s="112" t="s">
        <v>134</v>
      </c>
      <c r="C159" s="113"/>
      <c r="D159" s="113"/>
      <c r="E159" s="113"/>
      <c r="F159" s="113"/>
      <c r="G159" s="113"/>
      <c r="H159" s="113"/>
      <c r="I159" s="113"/>
      <c r="J159" s="113"/>
      <c r="K159" s="39"/>
      <c r="L159" s="21"/>
    </row>
    <row r="160" spans="1:12" x14ac:dyDescent="0.35">
      <c r="B160" s="112" t="s">
        <v>135</v>
      </c>
      <c r="C160" s="113"/>
      <c r="D160" s="113"/>
      <c r="E160" s="113"/>
      <c r="F160" s="113"/>
      <c r="G160" s="113"/>
      <c r="H160" s="113"/>
      <c r="I160" s="113"/>
      <c r="J160" s="113"/>
      <c r="K160" s="39"/>
      <c r="L160" s="21"/>
    </row>
    <row r="161" spans="2:12" x14ac:dyDescent="0.35">
      <c r="B161" s="114"/>
      <c r="C161" s="115"/>
      <c r="D161" s="115"/>
      <c r="E161" s="115"/>
      <c r="F161" s="115"/>
      <c r="G161" s="115"/>
      <c r="H161" s="115"/>
      <c r="I161" s="115"/>
      <c r="J161" s="115"/>
      <c r="K161" s="39"/>
      <c r="L161" s="21"/>
    </row>
    <row r="162" spans="2:12" x14ac:dyDescent="0.35">
      <c r="B162" s="14"/>
      <c r="K162" s="15"/>
    </row>
    <row r="163" spans="2:12" x14ac:dyDescent="0.35">
      <c r="B163" s="103" t="s">
        <v>136</v>
      </c>
      <c r="C163" s="104"/>
      <c r="D163" s="104"/>
      <c r="K163" s="15"/>
    </row>
    <row r="164" spans="2:12" x14ac:dyDescent="0.35">
      <c r="B164" s="14"/>
      <c r="K164" s="15"/>
    </row>
    <row r="165" spans="2:12" x14ac:dyDescent="0.35">
      <c r="B165" s="14"/>
      <c r="K165" s="15"/>
    </row>
    <row r="166" spans="2:12" x14ac:dyDescent="0.35">
      <c r="B166" s="14"/>
      <c r="K166" s="15"/>
    </row>
    <row r="167" spans="2:12" x14ac:dyDescent="0.35">
      <c r="B167" s="101" t="s">
        <v>42</v>
      </c>
      <c r="C167" s="102"/>
      <c r="D167" s="102"/>
      <c r="E167" s="102"/>
      <c r="F167" s="102"/>
      <c r="G167" s="102"/>
      <c r="K167" s="15"/>
    </row>
    <row r="168" spans="2:12" x14ac:dyDescent="0.35">
      <c r="B168" s="99"/>
      <c r="C168" s="100"/>
      <c r="D168" s="100"/>
      <c r="E168" s="100"/>
      <c r="F168" s="100"/>
      <c r="G168" s="100"/>
      <c r="K168" s="15"/>
    </row>
    <row r="169" spans="2:12" x14ac:dyDescent="0.35">
      <c r="B169" s="16" t="s">
        <v>137</v>
      </c>
      <c r="C169" s="100"/>
      <c r="D169" s="100"/>
      <c r="E169" s="100"/>
      <c r="F169" s="100"/>
      <c r="G169" s="100"/>
      <c r="K169" s="15"/>
    </row>
    <row r="170" spans="2:12" x14ac:dyDescent="0.35">
      <c r="B170" s="14"/>
      <c r="K170" s="15"/>
    </row>
    <row r="171" spans="2:12" x14ac:dyDescent="0.35">
      <c r="B171" s="103" t="s">
        <v>43</v>
      </c>
      <c r="C171" s="104"/>
      <c r="D171" s="104"/>
      <c r="E171" s="104"/>
      <c r="K171" s="15"/>
    </row>
    <row r="172" spans="2:12" x14ac:dyDescent="0.35">
      <c r="B172" s="14"/>
      <c r="K172" s="15"/>
    </row>
    <row r="173" spans="2:12" x14ac:dyDescent="0.35">
      <c r="B173" s="103" t="s">
        <v>44</v>
      </c>
      <c r="C173" s="104"/>
      <c r="K173" s="15"/>
    </row>
    <row r="174" spans="2:12" x14ac:dyDescent="0.35">
      <c r="B174" s="14"/>
      <c r="K174" s="15"/>
    </row>
    <row r="175" spans="2:12" x14ac:dyDescent="0.35">
      <c r="B175" s="103" t="s">
        <v>45</v>
      </c>
      <c r="C175" s="104"/>
      <c r="K175" s="15"/>
    </row>
    <row r="176" spans="2:12" x14ac:dyDescent="0.35">
      <c r="B176" s="14"/>
      <c r="K176" s="15"/>
    </row>
    <row r="177" spans="2:11" ht="15" thickBot="1" x14ac:dyDescent="0.4">
      <c r="B177" s="17"/>
      <c r="C177" s="18"/>
      <c r="D177" s="18"/>
      <c r="E177" s="18"/>
      <c r="F177" s="18"/>
      <c r="G177" s="18"/>
      <c r="H177" s="18"/>
      <c r="I177" s="18"/>
      <c r="J177" s="18"/>
      <c r="K177" s="19"/>
    </row>
    <row r="179" spans="2:11" s="9" customFormat="1" ht="13.5" x14ac:dyDescent="0.25"/>
    <row r="180" spans="2:11" s="9" customFormat="1" ht="13.5" x14ac:dyDescent="0.25"/>
    <row r="181" spans="2:11" s="9" customFormat="1" ht="13.5" x14ac:dyDescent="0.25"/>
    <row r="182" spans="2:11" s="9" customFormat="1" ht="13.5" x14ac:dyDescent="0.25"/>
    <row r="183" spans="2:11" s="9" customFormat="1" ht="13.5" x14ac:dyDescent="0.25"/>
    <row r="184" spans="2:11" s="9" customFormat="1" ht="13.5" x14ac:dyDescent="0.25"/>
    <row r="185" spans="2:11" s="9" customFormat="1" ht="13.5" x14ac:dyDescent="0.25"/>
    <row r="186" spans="2:11" s="9" customFormat="1" ht="13.5" x14ac:dyDescent="0.25"/>
    <row r="187" spans="2:11" s="9" customFormat="1" ht="13.5" x14ac:dyDescent="0.25"/>
    <row r="188" spans="2:11" s="9" customFormat="1" ht="13.5" x14ac:dyDescent="0.25"/>
    <row r="189" spans="2:11" s="9" customFormat="1" ht="13.5" x14ac:dyDescent="0.25"/>
    <row r="190" spans="2:11" s="9" customFormat="1" ht="13.5" x14ac:dyDescent="0.25"/>
    <row r="191" spans="2:11" s="9" customFormat="1" ht="13.5" x14ac:dyDescent="0.25"/>
    <row r="192" spans="2:11" s="9" customFormat="1" ht="13.5" x14ac:dyDescent="0.25"/>
    <row r="193" s="9" customFormat="1" ht="13.5" x14ac:dyDescent="0.25"/>
    <row r="194" s="9" customFormat="1" ht="13.5" x14ac:dyDescent="0.25"/>
    <row r="195" s="9" customFormat="1" ht="13.5" x14ac:dyDescent="0.25"/>
    <row r="196" s="9" customFormat="1" ht="13.5" x14ac:dyDescent="0.25"/>
    <row r="197" s="9" customFormat="1" ht="13.5" x14ac:dyDescent="0.25"/>
    <row r="198" s="9" customFormat="1" ht="13.5" x14ac:dyDescent="0.25"/>
    <row r="199" s="9" customFormat="1" ht="13.5" x14ac:dyDescent="0.25"/>
    <row r="200" s="9" customFormat="1" ht="13.5" x14ac:dyDescent="0.25"/>
    <row r="201" s="9" customFormat="1" ht="13.5" x14ac:dyDescent="0.25"/>
    <row r="202" s="9" customFormat="1" ht="13.5" x14ac:dyDescent="0.25"/>
    <row r="203" s="9" customFormat="1" ht="13.5" x14ac:dyDescent="0.25"/>
    <row r="204" s="9" customFormat="1" ht="13.5" x14ac:dyDescent="0.25"/>
    <row r="205" s="9" customFormat="1" ht="13.5" x14ac:dyDescent="0.25"/>
    <row r="206" s="9" customFormat="1" ht="13.5" x14ac:dyDescent="0.25"/>
    <row r="207" s="9" customFormat="1" ht="13.5" x14ac:dyDescent="0.25"/>
    <row r="208" s="9" customFormat="1" ht="13.5" x14ac:dyDescent="0.25"/>
    <row r="209" s="9" customFormat="1" ht="13.5" x14ac:dyDescent="0.25"/>
    <row r="210" s="9" customFormat="1" ht="13.5" x14ac:dyDescent="0.25"/>
    <row r="211" s="9" customFormat="1" ht="13.5" x14ac:dyDescent="0.25"/>
    <row r="212" s="9" customFormat="1" ht="13.5" x14ac:dyDescent="0.25"/>
    <row r="213" s="9" customFormat="1" ht="13.5" x14ac:dyDescent="0.25"/>
    <row r="214" s="9" customFormat="1" ht="13.5" x14ac:dyDescent="0.25"/>
    <row r="215" s="9" customFormat="1" ht="13.5" x14ac:dyDescent="0.25"/>
    <row r="216" s="9" customFormat="1" ht="13.5" x14ac:dyDescent="0.25"/>
    <row r="217" s="9" customFormat="1" ht="13.5" x14ac:dyDescent="0.25"/>
    <row r="218" s="9" customFormat="1" ht="13.5" x14ac:dyDescent="0.25"/>
    <row r="219" s="9" customFormat="1" ht="13.5" x14ac:dyDescent="0.25"/>
    <row r="220" s="9" customFormat="1" ht="13.5" x14ac:dyDescent="0.25"/>
    <row r="221" s="9" customFormat="1" ht="13.5" x14ac:dyDescent="0.25"/>
    <row r="222" s="9" customFormat="1" ht="13.5" x14ac:dyDescent="0.25"/>
    <row r="223" s="9" customFormat="1" ht="13.5" x14ac:dyDescent="0.25"/>
    <row r="224" s="9" customFormat="1" ht="13.5" x14ac:dyDescent="0.25"/>
    <row r="225" s="9" customFormat="1" ht="13.5" x14ac:dyDescent="0.25"/>
    <row r="226" s="9" customFormat="1" ht="13.5" x14ac:dyDescent="0.25"/>
    <row r="227" s="9" customFormat="1" ht="13.5" x14ac:dyDescent="0.25"/>
    <row r="228" s="9" customFormat="1" ht="13.5" x14ac:dyDescent="0.25"/>
    <row r="229" s="9" customFormat="1" ht="13.5" x14ac:dyDescent="0.25"/>
    <row r="230" s="9" customFormat="1" ht="13.5" x14ac:dyDescent="0.25"/>
    <row r="231" s="9" customFormat="1" ht="13.5" x14ac:dyDescent="0.25"/>
    <row r="232" s="9" customFormat="1" ht="13.5" x14ac:dyDescent="0.25"/>
    <row r="233" s="9" customFormat="1" ht="13.5" x14ac:dyDescent="0.25"/>
    <row r="234" s="9" customFormat="1" ht="13.5" x14ac:dyDescent="0.25"/>
    <row r="235" s="9" customFormat="1" ht="13.5" x14ac:dyDescent="0.25"/>
    <row r="236" s="9" customFormat="1" ht="13.5" x14ac:dyDescent="0.25"/>
    <row r="237" s="9" customFormat="1" ht="13.5" x14ac:dyDescent="0.25"/>
    <row r="238" s="9" customFormat="1" ht="13.5" x14ac:dyDescent="0.25"/>
    <row r="239" s="9" customFormat="1" ht="13.5" x14ac:dyDescent="0.25"/>
    <row r="240" s="9" customFormat="1" ht="13.5" x14ac:dyDescent="0.25"/>
    <row r="241" s="9" customFormat="1" ht="13.5" x14ac:dyDescent="0.25"/>
    <row r="242" s="9" customFormat="1" ht="13.5" x14ac:dyDescent="0.25"/>
    <row r="243" s="9" customFormat="1" ht="13.5" x14ac:dyDescent="0.25"/>
    <row r="244" s="9" customFormat="1" ht="13.5" x14ac:dyDescent="0.25"/>
    <row r="245" s="9" customFormat="1" ht="13.5" x14ac:dyDescent="0.25"/>
    <row r="246" s="9" customFormat="1" ht="13.5" x14ac:dyDescent="0.25"/>
    <row r="247" s="9" customFormat="1" ht="13.5" x14ac:dyDescent="0.25"/>
    <row r="248" s="9" customFormat="1" ht="13.5" x14ac:dyDescent="0.25"/>
    <row r="249" s="9" customFormat="1" ht="13.5" x14ac:dyDescent="0.25"/>
    <row r="250" s="9" customFormat="1" ht="13.5" x14ac:dyDescent="0.25"/>
    <row r="251" s="9" customFormat="1" ht="13.5" x14ac:dyDescent="0.25"/>
    <row r="252" s="9" customFormat="1" ht="13.5" x14ac:dyDescent="0.25"/>
    <row r="253" s="9" customFormat="1" ht="13.5" x14ac:dyDescent="0.25"/>
    <row r="254" s="9" customFormat="1" ht="13.5" x14ac:dyDescent="0.25"/>
    <row r="255" s="9" customFormat="1" ht="13.5" x14ac:dyDescent="0.25"/>
    <row r="256" s="9" customFormat="1" ht="13.5" x14ac:dyDescent="0.25"/>
    <row r="257" s="9" customFormat="1" ht="13.5" x14ac:dyDescent="0.25"/>
    <row r="258" s="9" customFormat="1" ht="13.5" x14ac:dyDescent="0.25"/>
    <row r="259" s="9" customFormat="1" ht="13.5" x14ac:dyDescent="0.25"/>
    <row r="260" s="9" customFormat="1" ht="13.5" x14ac:dyDescent="0.25"/>
    <row r="261" s="9" customFormat="1" ht="13.5" x14ac:dyDescent="0.25"/>
    <row r="262" s="9" customFormat="1" ht="13.5" x14ac:dyDescent="0.25"/>
    <row r="263" s="9" customFormat="1" ht="13.5" x14ac:dyDescent="0.25"/>
    <row r="264" s="9" customFormat="1" ht="13.5" x14ac:dyDescent="0.25"/>
    <row r="265" s="9" customFormat="1" ht="13.5" x14ac:dyDescent="0.25"/>
    <row r="266" s="9" customFormat="1" ht="13.5" x14ac:dyDescent="0.25"/>
    <row r="267" s="9" customFormat="1" ht="13.5" x14ac:dyDescent="0.25"/>
    <row r="268" s="9" customFormat="1" ht="13.5" x14ac:dyDescent="0.25"/>
    <row r="269" s="9" customFormat="1" ht="13.5" x14ac:dyDescent="0.25"/>
    <row r="270" s="9" customFormat="1" ht="13.5" x14ac:dyDescent="0.25"/>
    <row r="271" s="9" customFormat="1" ht="13.5" x14ac:dyDescent="0.25"/>
    <row r="272" s="9" customFormat="1" ht="13.5" x14ac:dyDescent="0.25"/>
    <row r="273" s="9" customFormat="1" ht="13.5" x14ac:dyDescent="0.25"/>
    <row r="274" s="9" customFormat="1" ht="13.5" x14ac:dyDescent="0.25"/>
    <row r="275" s="9" customFormat="1" ht="13.5" x14ac:dyDescent="0.25"/>
    <row r="276" s="9" customFormat="1" ht="13.5" x14ac:dyDescent="0.25"/>
    <row r="277" s="9" customFormat="1" ht="13.5" x14ac:dyDescent="0.25"/>
    <row r="278" s="9" customFormat="1" ht="13.5" x14ac:dyDescent="0.25"/>
    <row r="279" s="9" customFormat="1" ht="13.5" x14ac:dyDescent="0.25"/>
    <row r="280" s="9" customFormat="1" ht="13.5" x14ac:dyDescent="0.25"/>
    <row r="281" s="9" customFormat="1" ht="13.5" x14ac:dyDescent="0.25"/>
    <row r="282" s="9" customFormat="1" ht="13.5" x14ac:dyDescent="0.25"/>
    <row r="283" s="9" customFormat="1" ht="13.5" x14ac:dyDescent="0.25"/>
    <row r="284" s="9" customFormat="1" ht="13.5" x14ac:dyDescent="0.25"/>
    <row r="285" s="9" customFormat="1" ht="13.5" x14ac:dyDescent="0.25"/>
    <row r="286" s="9" customFormat="1" ht="13.5" x14ac:dyDescent="0.25"/>
    <row r="287" s="9" customFormat="1" ht="13.5" x14ac:dyDescent="0.25"/>
    <row r="288" s="9" customFormat="1" ht="13.5" x14ac:dyDescent="0.25"/>
    <row r="289" s="9" customFormat="1" ht="13.5" x14ac:dyDescent="0.25"/>
    <row r="290" s="9" customFormat="1" ht="13.5" x14ac:dyDescent="0.25"/>
    <row r="291" s="9" customFormat="1" ht="13.5" x14ac:dyDescent="0.25"/>
    <row r="292" s="9" customFormat="1" ht="13.5" x14ac:dyDescent="0.25"/>
    <row r="293" s="9" customFormat="1" ht="13.5" x14ac:dyDescent="0.25"/>
    <row r="294" s="9" customFormat="1" ht="13.5" x14ac:dyDescent="0.25"/>
    <row r="295" s="9" customFormat="1" ht="13.5" x14ac:dyDescent="0.25"/>
    <row r="296" s="9" customFormat="1" ht="13.5" x14ac:dyDescent="0.25"/>
    <row r="297" s="9" customFormat="1" ht="13.5" x14ac:dyDescent="0.25"/>
    <row r="298" s="9" customFormat="1" ht="13.5" x14ac:dyDescent="0.25"/>
    <row r="299" s="9" customFormat="1" ht="13.5" x14ac:dyDescent="0.25"/>
    <row r="300" s="9" customFormat="1" ht="13.5" x14ac:dyDescent="0.25"/>
    <row r="301" s="9" customFormat="1" ht="13.5" x14ac:dyDescent="0.25"/>
    <row r="302" s="9" customFormat="1" ht="13.5" x14ac:dyDescent="0.25"/>
    <row r="303" s="9" customFormat="1" ht="13.5" x14ac:dyDescent="0.25"/>
    <row r="304" s="9" customFormat="1" ht="13.5" x14ac:dyDescent="0.25"/>
    <row r="305" s="9" customFormat="1" ht="13.5" x14ac:dyDescent="0.25"/>
    <row r="306" s="9" customFormat="1" ht="13.5" x14ac:dyDescent="0.25"/>
    <row r="307" s="9" customFormat="1" ht="13.5" x14ac:dyDescent="0.25"/>
    <row r="308" s="9" customFormat="1" ht="13.5" x14ac:dyDescent="0.25"/>
    <row r="309" s="9" customFormat="1" ht="13.5" x14ac:dyDescent="0.25"/>
    <row r="310" s="9" customFormat="1" ht="13.5" x14ac:dyDescent="0.25"/>
    <row r="311" s="9" customFormat="1" ht="13.5" x14ac:dyDescent="0.25"/>
    <row r="312" s="9" customFormat="1" ht="13.5" x14ac:dyDescent="0.25"/>
    <row r="313" s="9" customFormat="1" ht="13.5" x14ac:dyDescent="0.25"/>
    <row r="314" s="9" customFormat="1" ht="13.5" x14ac:dyDescent="0.25"/>
    <row r="315" s="9" customFormat="1" ht="13.5" x14ac:dyDescent="0.25"/>
    <row r="316" s="9" customFormat="1" ht="13.5" x14ac:dyDescent="0.25"/>
    <row r="317" s="9" customFormat="1" ht="13.5" x14ac:dyDescent="0.25"/>
    <row r="318" s="9" customFormat="1" ht="13.5" x14ac:dyDescent="0.25"/>
    <row r="319" s="9" customFormat="1" ht="13.5" x14ac:dyDescent="0.25"/>
    <row r="320" s="9" customFormat="1" ht="13.5" x14ac:dyDescent="0.25"/>
    <row r="321" s="9" customFormat="1" ht="13.5" x14ac:dyDescent="0.25"/>
    <row r="322" s="9" customFormat="1" ht="13.5" x14ac:dyDescent="0.25"/>
    <row r="323" s="9" customFormat="1" ht="13.5" x14ac:dyDescent="0.25"/>
    <row r="324" s="9" customFormat="1" ht="13.5" x14ac:dyDescent="0.25"/>
    <row r="325" s="9" customFormat="1" ht="13.5" x14ac:dyDescent="0.25"/>
    <row r="326" s="9" customFormat="1" ht="13.5" x14ac:dyDescent="0.25"/>
    <row r="327" s="9" customFormat="1" ht="13.5" x14ac:dyDescent="0.25"/>
    <row r="328" s="9" customFormat="1" ht="13.5" x14ac:dyDescent="0.25"/>
    <row r="329" s="9" customFormat="1" ht="13.5" x14ac:dyDescent="0.25"/>
    <row r="330" s="9" customFormat="1" ht="13.5" x14ac:dyDescent="0.25"/>
    <row r="331" s="9" customFormat="1" ht="13.5" x14ac:dyDescent="0.25"/>
    <row r="332" s="9" customFormat="1" ht="13.5" x14ac:dyDescent="0.25"/>
    <row r="333" s="9" customFormat="1" ht="13.5" x14ac:dyDescent="0.25"/>
    <row r="334" s="9" customFormat="1" ht="13.5" x14ac:dyDescent="0.25"/>
    <row r="335" s="9" customFormat="1" ht="13.5" x14ac:dyDescent="0.25"/>
    <row r="336" s="9" customFormat="1" ht="13.5" x14ac:dyDescent="0.25"/>
    <row r="337" s="9" customFormat="1" ht="13.5" x14ac:dyDescent="0.25"/>
    <row r="338" s="9" customFormat="1" ht="13.5" x14ac:dyDescent="0.25"/>
    <row r="339" s="9" customFormat="1" ht="13.5" x14ac:dyDescent="0.25"/>
    <row r="340" s="9" customFormat="1" ht="13.5" x14ac:dyDescent="0.25"/>
    <row r="341" s="9" customFormat="1" ht="13.5" x14ac:dyDescent="0.25"/>
    <row r="342" s="9" customFormat="1" ht="13.5" x14ac:dyDescent="0.25"/>
    <row r="343" s="9" customFormat="1" ht="13.5" x14ac:dyDescent="0.25"/>
    <row r="344" s="9" customFormat="1" ht="13.5" x14ac:dyDescent="0.25"/>
    <row r="345" s="9" customFormat="1" ht="13.5" x14ac:dyDescent="0.25"/>
    <row r="346" s="9" customFormat="1" ht="13.5" x14ac:dyDescent="0.25"/>
    <row r="347" s="9" customFormat="1" ht="13.5" x14ac:dyDescent="0.25"/>
    <row r="348" s="9" customFormat="1" ht="13.5" x14ac:dyDescent="0.25"/>
    <row r="349" s="9" customFormat="1" ht="13.5" x14ac:dyDescent="0.25"/>
    <row r="350" s="9" customFormat="1" ht="13.5" x14ac:dyDescent="0.25"/>
    <row r="351" s="9" customFormat="1" ht="13.5" x14ac:dyDescent="0.25"/>
    <row r="352" s="9" customFormat="1" ht="13.5" x14ac:dyDescent="0.25"/>
    <row r="353" s="9" customFormat="1" ht="13.5" x14ac:dyDescent="0.25"/>
    <row r="354" s="9" customFormat="1" ht="13.5" x14ac:dyDescent="0.25"/>
    <row r="355" s="9" customFormat="1" ht="13.5" x14ac:dyDescent="0.25"/>
    <row r="356" s="9" customFormat="1" ht="13.5" x14ac:dyDescent="0.25"/>
    <row r="357" s="9" customFormat="1" ht="13.5" x14ac:dyDescent="0.25"/>
    <row r="358" s="9" customFormat="1" ht="13.5" x14ac:dyDescent="0.25"/>
    <row r="359" s="9" customFormat="1" ht="13.5" x14ac:dyDescent="0.25"/>
    <row r="360" s="9" customFormat="1" ht="13.5" x14ac:dyDescent="0.25"/>
    <row r="361" s="9" customFormat="1" ht="13.5" x14ac:dyDescent="0.25"/>
    <row r="362" s="9" customFormat="1" ht="13.5" x14ac:dyDescent="0.25"/>
    <row r="363" s="9" customFormat="1" ht="13.5" x14ac:dyDescent="0.25"/>
    <row r="364" s="9" customFormat="1" ht="13.5" x14ac:dyDescent="0.25"/>
    <row r="365" s="9" customFormat="1" ht="13.5" x14ac:dyDescent="0.25"/>
    <row r="366" s="9" customFormat="1" ht="13.5" x14ac:dyDescent="0.25"/>
    <row r="367" s="9" customFormat="1" ht="13.5" x14ac:dyDescent="0.25"/>
    <row r="368" s="9" customFormat="1" ht="13.5" x14ac:dyDescent="0.25"/>
    <row r="369" s="9" customFormat="1" ht="13.5" x14ac:dyDescent="0.25"/>
    <row r="370" s="9" customFormat="1" ht="13.5" x14ac:dyDescent="0.25"/>
    <row r="371" s="9" customFormat="1" ht="13.5" x14ac:dyDescent="0.25"/>
    <row r="372" s="9" customFormat="1" ht="13.5" x14ac:dyDescent="0.25"/>
    <row r="373" s="9" customFormat="1" ht="13.5" x14ac:dyDescent="0.25"/>
    <row r="374" s="9" customFormat="1" ht="13.5" x14ac:dyDescent="0.25"/>
    <row r="375" s="9" customFormat="1" ht="13.5" x14ac:dyDescent="0.25"/>
    <row r="376" s="9" customFormat="1" ht="13.5" x14ac:dyDescent="0.25"/>
    <row r="377" s="9" customFormat="1" ht="13.5" x14ac:dyDescent="0.25"/>
    <row r="378" s="9" customFormat="1" ht="13.5" x14ac:dyDescent="0.25"/>
    <row r="379" s="9" customFormat="1" ht="13.5" x14ac:dyDescent="0.25"/>
    <row r="380" s="9" customFormat="1" ht="13.5" x14ac:dyDescent="0.25"/>
    <row r="381" s="9" customFormat="1" ht="13.5" x14ac:dyDescent="0.25"/>
    <row r="382" s="9" customFormat="1" ht="13.5" x14ac:dyDescent="0.25"/>
    <row r="383" s="9" customFormat="1" ht="13.5" x14ac:dyDescent="0.25"/>
    <row r="384" s="9" customFormat="1" ht="13.5" x14ac:dyDescent="0.25"/>
    <row r="385" s="9" customFormat="1" ht="13.5" x14ac:dyDescent="0.25"/>
    <row r="386" s="9" customFormat="1" ht="13.5" x14ac:dyDescent="0.25"/>
    <row r="387" s="9" customFormat="1" ht="13.5" x14ac:dyDescent="0.25"/>
    <row r="388" s="9" customFormat="1" ht="13.5" x14ac:dyDescent="0.25"/>
    <row r="389" s="9" customFormat="1" ht="13.5" x14ac:dyDescent="0.25"/>
    <row r="390" s="9" customFormat="1" ht="13.5" x14ac:dyDescent="0.25"/>
    <row r="391" s="9" customFormat="1" ht="13.5" x14ac:dyDescent="0.25"/>
    <row r="392" s="9" customFormat="1" ht="13.5" x14ac:dyDescent="0.25"/>
    <row r="393" s="9" customFormat="1" ht="13.5" x14ac:dyDescent="0.25"/>
    <row r="394" s="9" customFormat="1" ht="13.5" x14ac:dyDescent="0.25"/>
    <row r="395" s="9" customFormat="1" ht="13.5" x14ac:dyDescent="0.25"/>
    <row r="396" s="9" customFormat="1" ht="13.5" x14ac:dyDescent="0.25"/>
    <row r="397" s="9" customFormat="1" ht="13.5" x14ac:dyDescent="0.25"/>
    <row r="398" s="9" customFormat="1" ht="13.5" x14ac:dyDescent="0.25"/>
    <row r="399" s="9" customFormat="1" ht="13.5" x14ac:dyDescent="0.25"/>
    <row r="400" s="9" customFormat="1" ht="13.5" x14ac:dyDescent="0.25"/>
    <row r="401" s="9" customFormat="1" ht="13.5" x14ac:dyDescent="0.25"/>
    <row r="402" s="9" customFormat="1" ht="13.5" x14ac:dyDescent="0.25"/>
    <row r="403" s="9" customFormat="1" ht="13.5" x14ac:dyDescent="0.25"/>
    <row r="404" s="9" customFormat="1" ht="13.5" x14ac:dyDescent="0.25"/>
    <row r="405" s="9" customFormat="1" ht="13.5" x14ac:dyDescent="0.25"/>
    <row r="406" s="9" customFormat="1" ht="13.5" x14ac:dyDescent="0.25"/>
    <row r="407" s="9" customFormat="1" ht="13.5" x14ac:dyDescent="0.25"/>
    <row r="408" s="9" customFormat="1" ht="13.5" x14ac:dyDescent="0.25"/>
    <row r="409" s="9" customFormat="1" ht="13.5" x14ac:dyDescent="0.25"/>
    <row r="410" s="9" customFormat="1" ht="13.5" x14ac:dyDescent="0.25"/>
    <row r="411" s="9" customFormat="1" ht="13.5" x14ac:dyDescent="0.25"/>
    <row r="412" s="9" customFormat="1" ht="13.5" x14ac:dyDescent="0.25"/>
    <row r="413" s="9" customFormat="1" ht="13.5" x14ac:dyDescent="0.25"/>
    <row r="414" s="9" customFormat="1" ht="13.5" x14ac:dyDescent="0.25"/>
    <row r="415" s="9" customFormat="1" ht="13.5" x14ac:dyDescent="0.25"/>
    <row r="416" s="9" customFormat="1" ht="13.5" x14ac:dyDescent="0.25"/>
    <row r="417" s="9" customFormat="1" ht="13.5" x14ac:dyDescent="0.25"/>
    <row r="418" s="9" customFormat="1" ht="13.5" x14ac:dyDescent="0.25"/>
    <row r="419" s="9" customFormat="1" ht="13.5" x14ac:dyDescent="0.25"/>
    <row r="420" s="9" customFormat="1" ht="13.5" x14ac:dyDescent="0.25"/>
    <row r="421" s="9" customFormat="1" ht="13.5" x14ac:dyDescent="0.25"/>
    <row r="422" s="9" customFormat="1" ht="13.5" x14ac:dyDescent="0.25"/>
    <row r="423" s="9" customFormat="1" ht="13.5" x14ac:dyDescent="0.25"/>
    <row r="424" s="9" customFormat="1" ht="13.5" x14ac:dyDescent="0.25"/>
    <row r="425" s="9" customFormat="1" ht="13.5" x14ac:dyDescent="0.25"/>
    <row r="426" s="9" customFormat="1" ht="13.5" x14ac:dyDescent="0.25"/>
    <row r="427" s="9" customFormat="1" ht="13.5" x14ac:dyDescent="0.25"/>
    <row r="428" s="9" customFormat="1" ht="13.5" x14ac:dyDescent="0.25"/>
    <row r="429" s="9" customFormat="1" ht="13.5" x14ac:dyDescent="0.25"/>
    <row r="430" s="9" customFormat="1" ht="13.5" x14ac:dyDescent="0.25"/>
    <row r="431" s="9" customFormat="1" ht="13.5" x14ac:dyDescent="0.25"/>
    <row r="432" s="9" customFormat="1" ht="13.5" x14ac:dyDescent="0.25"/>
    <row r="433" s="9" customFormat="1" ht="13.5" x14ac:dyDescent="0.25"/>
    <row r="434" s="9" customFormat="1" ht="13.5" x14ac:dyDescent="0.25"/>
    <row r="435" s="9" customFormat="1" ht="13.5" x14ac:dyDescent="0.25"/>
    <row r="436" s="9" customFormat="1" ht="13.5" x14ac:dyDescent="0.25"/>
    <row r="437" s="9" customFormat="1" ht="13.5" x14ac:dyDescent="0.25"/>
    <row r="438" s="9" customFormat="1" ht="13.5" x14ac:dyDescent="0.25"/>
    <row r="439" s="9" customFormat="1" ht="13.5" x14ac:dyDescent="0.25"/>
    <row r="440" s="9" customFormat="1" ht="13.5" x14ac:dyDescent="0.25"/>
    <row r="441" s="9" customFormat="1" ht="13.5" x14ac:dyDescent="0.25"/>
    <row r="442" s="9" customFormat="1" ht="13.5" x14ac:dyDescent="0.25"/>
    <row r="443" s="9" customFormat="1" ht="13.5" x14ac:dyDescent="0.25"/>
    <row r="444" s="9" customFormat="1" ht="13.5" x14ac:dyDescent="0.25"/>
    <row r="445" s="9" customFormat="1" ht="13.5" x14ac:dyDescent="0.25"/>
    <row r="446" s="9" customFormat="1" ht="13.5" x14ac:dyDescent="0.25"/>
    <row r="447" s="9" customFormat="1" ht="13.5" x14ac:dyDescent="0.25"/>
    <row r="448" s="9" customFormat="1" ht="13.5" x14ac:dyDescent="0.25"/>
    <row r="449" s="9" customFormat="1" ht="13.5" x14ac:dyDescent="0.25"/>
    <row r="450" s="9" customFormat="1" ht="13.5" x14ac:dyDescent="0.25"/>
    <row r="451" s="9" customFormat="1" ht="13.5" x14ac:dyDescent="0.25"/>
    <row r="452" s="9" customFormat="1" ht="13.5" x14ac:dyDescent="0.25"/>
    <row r="453" s="9" customFormat="1" ht="13.5" x14ac:dyDescent="0.25"/>
    <row r="454" s="9" customFormat="1" ht="13.5" x14ac:dyDescent="0.25"/>
    <row r="455" s="9" customFormat="1" ht="13.5" x14ac:dyDescent="0.25"/>
    <row r="456" s="9" customFormat="1" ht="13.5" x14ac:dyDescent="0.25"/>
    <row r="457" s="9" customFormat="1" ht="13.5" x14ac:dyDescent="0.25"/>
    <row r="458" s="9" customFormat="1" ht="13.5" x14ac:dyDescent="0.25"/>
    <row r="459" s="9" customFormat="1" ht="13.5" x14ac:dyDescent="0.25"/>
    <row r="460" s="9" customFormat="1" ht="13.5" x14ac:dyDescent="0.25"/>
    <row r="461" s="9" customFormat="1" ht="13.5" x14ac:dyDescent="0.25"/>
    <row r="462" s="9" customFormat="1" ht="13.5" x14ac:dyDescent="0.25"/>
    <row r="463" s="9" customFormat="1" ht="13.5" x14ac:dyDescent="0.25"/>
    <row r="464" s="9" customFormat="1" ht="13.5" x14ac:dyDescent="0.25"/>
    <row r="465" s="9" customFormat="1" ht="13.5" x14ac:dyDescent="0.25"/>
    <row r="466" s="9" customFormat="1" ht="13.5" x14ac:dyDescent="0.25"/>
    <row r="467" s="9" customFormat="1" ht="13.5" x14ac:dyDescent="0.25"/>
    <row r="468" s="9" customFormat="1" ht="13.5" x14ac:dyDescent="0.25"/>
    <row r="469" s="9" customFormat="1" ht="13.5" x14ac:dyDescent="0.25"/>
    <row r="470" s="9" customFormat="1" ht="13.5" x14ac:dyDescent="0.25"/>
    <row r="471" s="9" customFormat="1" ht="13.5" x14ac:dyDescent="0.25"/>
    <row r="472" s="9" customFormat="1" ht="13.5" x14ac:dyDescent="0.25"/>
    <row r="473" s="9" customFormat="1" ht="13.5" x14ac:dyDescent="0.25"/>
    <row r="474" s="9" customFormat="1" ht="13.5" x14ac:dyDescent="0.25"/>
    <row r="475" s="9" customFormat="1" ht="13.5" x14ac:dyDescent="0.25"/>
    <row r="476" s="9" customFormat="1" ht="13.5" x14ac:dyDescent="0.25"/>
    <row r="477" s="9" customFormat="1" ht="13.5" x14ac:dyDescent="0.25"/>
    <row r="478" s="9" customFormat="1" ht="13.5" x14ac:dyDescent="0.25"/>
    <row r="479" s="9" customFormat="1" ht="13.5" x14ac:dyDescent="0.25"/>
    <row r="480" s="9" customFormat="1" ht="13.5" x14ac:dyDescent="0.25"/>
    <row r="481" s="9" customFormat="1" ht="13.5" x14ac:dyDescent="0.25"/>
    <row r="482" s="9" customFormat="1" ht="13.5" x14ac:dyDescent="0.25"/>
    <row r="483" s="9" customFormat="1" ht="13.5" x14ac:dyDescent="0.25"/>
    <row r="484" s="9" customFormat="1" ht="13.5" x14ac:dyDescent="0.25"/>
    <row r="485" s="9" customFormat="1" ht="13.5" x14ac:dyDescent="0.25"/>
    <row r="486" s="9" customFormat="1" ht="13.5" x14ac:dyDescent="0.25"/>
    <row r="487" s="9" customFormat="1" ht="13.5" x14ac:dyDescent="0.25"/>
    <row r="488" s="9" customFormat="1" ht="13.5" x14ac:dyDescent="0.25"/>
    <row r="489" s="9" customFormat="1" ht="13.5" x14ac:dyDescent="0.25"/>
    <row r="490" s="9" customFormat="1" ht="13.5" x14ac:dyDescent="0.25"/>
    <row r="491" s="9" customFormat="1" ht="13.5" x14ac:dyDescent="0.25"/>
    <row r="492" s="9" customFormat="1" ht="13.5" x14ac:dyDescent="0.25"/>
    <row r="493" s="9" customFormat="1" ht="13.5" x14ac:dyDescent="0.25"/>
    <row r="494" s="9" customFormat="1" ht="13.5" x14ac:dyDescent="0.25"/>
    <row r="495" s="9" customFormat="1" ht="13.5" x14ac:dyDescent="0.25"/>
    <row r="496" s="9" customFormat="1" ht="13.5" x14ac:dyDescent="0.25"/>
    <row r="497" s="9" customFormat="1" ht="13.5" x14ac:dyDescent="0.25"/>
    <row r="498" s="9" customFormat="1" ht="13.5" x14ac:dyDescent="0.25"/>
    <row r="499" s="9" customFormat="1" ht="13.5" x14ac:dyDescent="0.25"/>
    <row r="500" s="9" customFormat="1" ht="13.5" x14ac:dyDescent="0.25"/>
    <row r="501" s="9" customFormat="1" ht="13.5" x14ac:dyDescent="0.25"/>
    <row r="502" s="9" customFormat="1" ht="13.5" x14ac:dyDescent="0.25"/>
    <row r="503" s="9" customFormat="1" ht="13.5" x14ac:dyDescent="0.25"/>
    <row r="504" s="9" customFormat="1" ht="13.5" x14ac:dyDescent="0.25"/>
    <row r="505" s="9" customFormat="1" ht="13.5" x14ac:dyDescent="0.25"/>
    <row r="506" s="9" customFormat="1" ht="13.5" x14ac:dyDescent="0.25"/>
    <row r="507" s="9" customFormat="1" ht="13.5" x14ac:dyDescent="0.25"/>
    <row r="508" s="9" customFormat="1" ht="13.5" x14ac:dyDescent="0.25"/>
    <row r="509" s="9" customFormat="1" ht="13.5" x14ac:dyDescent="0.25"/>
    <row r="510" s="9" customFormat="1" ht="13.5" x14ac:dyDescent="0.25"/>
    <row r="511" s="9" customFormat="1" ht="13.5" x14ac:dyDescent="0.25"/>
    <row r="512" s="9" customFormat="1" ht="13.5" x14ac:dyDescent="0.25"/>
    <row r="513" s="9" customFormat="1" ht="13.5" x14ac:dyDescent="0.25"/>
    <row r="514" s="9" customFormat="1" ht="13.5" x14ac:dyDescent="0.25"/>
    <row r="515" s="9" customFormat="1" ht="13.5" x14ac:dyDescent="0.25"/>
    <row r="516" s="9" customFormat="1" ht="13.5" x14ac:dyDescent="0.25"/>
    <row r="517" s="9" customFormat="1" ht="13.5" x14ac:dyDescent="0.25"/>
    <row r="518" s="9" customFormat="1" ht="13.5" x14ac:dyDescent="0.25"/>
    <row r="519" s="9" customFormat="1" ht="13.5" x14ac:dyDescent="0.25"/>
    <row r="520" s="9" customFormat="1" ht="13.5" x14ac:dyDescent="0.25"/>
    <row r="521" s="9" customFormat="1" ht="13.5" x14ac:dyDescent="0.25"/>
    <row r="522" s="9" customFormat="1" ht="13.5" x14ac:dyDescent="0.25"/>
    <row r="523" s="9" customFormat="1" ht="13.5" x14ac:dyDescent="0.25"/>
    <row r="524" s="9" customFormat="1" ht="13.5" x14ac:dyDescent="0.25"/>
    <row r="525" s="9" customFormat="1" ht="13.5" x14ac:dyDescent="0.25"/>
    <row r="526" s="9" customFormat="1" ht="13.5" x14ac:dyDescent="0.25"/>
    <row r="527" s="9" customFormat="1" ht="13.5" x14ac:dyDescent="0.25"/>
    <row r="528" s="9" customFormat="1" ht="13.5" x14ac:dyDescent="0.25"/>
    <row r="529" s="9" customFormat="1" ht="13.5" x14ac:dyDescent="0.25"/>
    <row r="530" s="9" customFormat="1" ht="13.5" x14ac:dyDescent="0.25"/>
    <row r="531" s="9" customFormat="1" ht="13.5" x14ac:dyDescent="0.25"/>
    <row r="532" s="9" customFormat="1" ht="13.5" x14ac:dyDescent="0.25"/>
    <row r="533" s="9" customFormat="1" ht="13.5" x14ac:dyDescent="0.25"/>
    <row r="534" s="9" customFormat="1" ht="13.5" x14ac:dyDescent="0.25"/>
    <row r="535" s="9" customFormat="1" ht="13.5" x14ac:dyDescent="0.25"/>
    <row r="536" s="9" customFormat="1" ht="13.5" x14ac:dyDescent="0.25"/>
    <row r="537" s="9" customFormat="1" ht="13.5" x14ac:dyDescent="0.25"/>
    <row r="538" s="9" customFormat="1" ht="13.5" x14ac:dyDescent="0.25"/>
    <row r="539" s="9" customFormat="1" ht="13.5" x14ac:dyDescent="0.25"/>
    <row r="540" s="9" customFormat="1" ht="13.5" x14ac:dyDescent="0.25"/>
    <row r="541" s="9" customFormat="1" ht="13.5" x14ac:dyDescent="0.25"/>
    <row r="542" s="9" customFormat="1" ht="13.5" x14ac:dyDescent="0.25"/>
    <row r="543" s="9" customFormat="1" ht="13.5" x14ac:dyDescent="0.25"/>
    <row r="544" s="9" customFormat="1" ht="13.5" x14ac:dyDescent="0.25"/>
    <row r="545" s="9" customFormat="1" ht="13.5" x14ac:dyDescent="0.25"/>
    <row r="546" s="9" customFormat="1" ht="13.5" x14ac:dyDescent="0.25"/>
    <row r="547" s="9" customFormat="1" ht="13.5" x14ac:dyDescent="0.25"/>
    <row r="548" s="9" customFormat="1" ht="13.5" x14ac:dyDescent="0.25"/>
    <row r="549" s="9" customFormat="1" ht="13.5" x14ac:dyDescent="0.25"/>
    <row r="550" s="9" customFormat="1" ht="13.5" x14ac:dyDescent="0.25"/>
    <row r="551" s="9" customFormat="1" ht="13.5" x14ac:dyDescent="0.25"/>
    <row r="552" s="9" customFormat="1" ht="13.5" x14ac:dyDescent="0.25"/>
    <row r="553" s="9" customFormat="1" ht="13.5" x14ac:dyDescent="0.25"/>
    <row r="554" s="9" customFormat="1" ht="13.5" x14ac:dyDescent="0.25"/>
    <row r="555" s="9" customFormat="1" ht="13.5" x14ac:dyDescent="0.25"/>
    <row r="556" s="9" customFormat="1" ht="13.5" x14ac:dyDescent="0.25"/>
    <row r="557" s="9" customFormat="1" ht="13.5" x14ac:dyDescent="0.25"/>
    <row r="558" s="9" customFormat="1" ht="13.5" x14ac:dyDescent="0.25"/>
    <row r="559" s="9" customFormat="1" ht="13.5" x14ac:dyDescent="0.25"/>
    <row r="560" s="9" customFormat="1" ht="13.5" x14ac:dyDescent="0.25"/>
    <row r="561" s="9" customFormat="1" ht="13.5" x14ac:dyDescent="0.25"/>
    <row r="562" s="9" customFormat="1" ht="13.5" x14ac:dyDescent="0.25"/>
    <row r="563" s="9" customFormat="1" ht="13.5" x14ac:dyDescent="0.25"/>
    <row r="564" s="9" customFormat="1" ht="13.5" x14ac:dyDescent="0.25"/>
    <row r="565" s="9" customFormat="1" ht="13.5" x14ac:dyDescent="0.25"/>
    <row r="566" s="9" customFormat="1" ht="13.5" x14ac:dyDescent="0.25"/>
    <row r="567" s="9" customFormat="1" ht="13.5" x14ac:dyDescent="0.25"/>
    <row r="568" s="9" customFormat="1" ht="13.5" x14ac:dyDescent="0.25"/>
    <row r="569" s="9" customFormat="1" ht="13.5" x14ac:dyDescent="0.25"/>
    <row r="570" s="9" customFormat="1" ht="13.5" x14ac:dyDescent="0.25"/>
    <row r="571" s="9" customFormat="1" ht="13.5" x14ac:dyDescent="0.25"/>
    <row r="572" s="9" customFormat="1" ht="13.5" x14ac:dyDescent="0.25"/>
    <row r="573" s="9" customFormat="1" ht="13.5" x14ac:dyDescent="0.25"/>
    <row r="574" s="9" customFormat="1" ht="13.5" x14ac:dyDescent="0.25"/>
    <row r="575" s="9" customFormat="1" ht="13.5" x14ac:dyDescent="0.25"/>
    <row r="576" s="9" customFormat="1" ht="13.5" x14ac:dyDescent="0.25"/>
    <row r="577" s="9" customFormat="1" ht="13.5" x14ac:dyDescent="0.25"/>
    <row r="578" s="9" customFormat="1" ht="13.5" x14ac:dyDescent="0.25"/>
    <row r="579" s="9" customFormat="1" ht="13.5" x14ac:dyDescent="0.25"/>
    <row r="580" s="9" customFormat="1" ht="13.5" x14ac:dyDescent="0.25"/>
    <row r="581" s="9" customFormat="1" ht="13.5" x14ac:dyDescent="0.25"/>
    <row r="582" s="9" customFormat="1" ht="13.5" x14ac:dyDescent="0.25"/>
    <row r="583" s="9" customFormat="1" ht="13.5" x14ac:dyDescent="0.25"/>
    <row r="584" s="9" customFormat="1" ht="13.5" x14ac:dyDescent="0.25"/>
    <row r="585" s="9" customFormat="1" ht="13.5" x14ac:dyDescent="0.25"/>
    <row r="586" s="9" customFormat="1" ht="13.5" x14ac:dyDescent="0.25"/>
    <row r="587" s="9" customFormat="1" ht="13.5" x14ac:dyDescent="0.25"/>
    <row r="588" s="9" customFormat="1" ht="13.5" x14ac:dyDescent="0.25"/>
    <row r="589" s="9" customFormat="1" ht="13.5" x14ac:dyDescent="0.25"/>
    <row r="590" s="9" customFormat="1" ht="13.5" x14ac:dyDescent="0.25"/>
    <row r="591" s="9" customFormat="1" ht="13.5" x14ac:dyDescent="0.25"/>
    <row r="592" s="9" customFormat="1" ht="13.5" x14ac:dyDescent="0.25"/>
    <row r="593" s="9" customFormat="1" ht="13.5" x14ac:dyDescent="0.25"/>
    <row r="594" s="9" customFormat="1" ht="13.5" x14ac:dyDescent="0.25"/>
    <row r="595" s="9" customFormat="1" ht="13.5" x14ac:dyDescent="0.25"/>
    <row r="596" s="9" customFormat="1" ht="13.5" x14ac:dyDescent="0.25"/>
    <row r="597" s="9" customFormat="1" ht="13.5" x14ac:dyDescent="0.25"/>
    <row r="598" s="9" customFormat="1" ht="13.5" x14ac:dyDescent="0.25"/>
    <row r="599" s="9" customFormat="1" ht="13.5" x14ac:dyDescent="0.25"/>
    <row r="600" s="9" customFormat="1" ht="13.5" x14ac:dyDescent="0.25"/>
    <row r="601" s="9" customFormat="1" ht="13.5" x14ac:dyDescent="0.25"/>
    <row r="602" s="9" customFormat="1" ht="13.5" x14ac:dyDescent="0.25"/>
    <row r="603" s="9" customFormat="1" ht="13.5" x14ac:dyDescent="0.25"/>
    <row r="604" s="9" customFormat="1" ht="13.5" x14ac:dyDescent="0.25"/>
    <row r="605" s="9" customFormat="1" ht="13.5" x14ac:dyDescent="0.25"/>
    <row r="606" s="9" customFormat="1" ht="13.5" x14ac:dyDescent="0.25"/>
    <row r="607" s="9" customFormat="1" ht="13.5" x14ac:dyDescent="0.25"/>
    <row r="608" s="9" customFormat="1" ht="13.5" x14ac:dyDescent="0.25"/>
    <row r="609" s="9" customFormat="1" ht="13.5" x14ac:dyDescent="0.25"/>
    <row r="610" s="9" customFormat="1" ht="13.5" x14ac:dyDescent="0.25"/>
    <row r="611" s="9" customFormat="1" ht="13.5" x14ac:dyDescent="0.25"/>
    <row r="612" s="9" customFormat="1" ht="13.5" x14ac:dyDescent="0.25"/>
    <row r="613" s="9" customFormat="1" ht="13.5" x14ac:dyDescent="0.25"/>
    <row r="614" s="9" customFormat="1" ht="13.5" x14ac:dyDescent="0.25"/>
    <row r="615" s="9" customFormat="1" ht="13.5" x14ac:dyDescent="0.25"/>
    <row r="616" s="9" customFormat="1" ht="13.5" x14ac:dyDescent="0.25"/>
    <row r="617" s="9" customFormat="1" ht="13.5" x14ac:dyDescent="0.25"/>
    <row r="618" s="9" customFormat="1" ht="13.5" x14ac:dyDescent="0.25"/>
    <row r="619" s="9" customFormat="1" ht="13.5" x14ac:dyDescent="0.25"/>
    <row r="620" s="9" customFormat="1" ht="13.5" x14ac:dyDescent="0.25"/>
    <row r="621" s="9" customFormat="1" ht="13.5" x14ac:dyDescent="0.25"/>
    <row r="622" s="9" customFormat="1" ht="13.5" x14ac:dyDescent="0.25"/>
    <row r="623" s="9" customFormat="1" ht="13.5" x14ac:dyDescent="0.25"/>
    <row r="624" s="9" customFormat="1" ht="13.5" x14ac:dyDescent="0.25"/>
    <row r="625" s="9" customFormat="1" ht="13.5" x14ac:dyDescent="0.25"/>
    <row r="626" s="9" customFormat="1" ht="13.5" x14ac:dyDescent="0.25"/>
    <row r="627" s="9" customFormat="1" ht="13.5" x14ac:dyDescent="0.25"/>
    <row r="628" s="9" customFormat="1" ht="13.5" x14ac:dyDescent="0.25"/>
    <row r="629" s="9" customFormat="1" ht="13.5" x14ac:dyDescent="0.25"/>
    <row r="630" s="9" customFormat="1" ht="13.5" x14ac:dyDescent="0.25"/>
    <row r="631" s="9" customFormat="1" ht="13.5" x14ac:dyDescent="0.25"/>
    <row r="632" s="9" customFormat="1" ht="13.5" x14ac:dyDescent="0.25"/>
    <row r="633" s="9" customFormat="1" ht="13.5" x14ac:dyDescent="0.25"/>
    <row r="634" s="9" customFormat="1" ht="13.5" x14ac:dyDescent="0.25"/>
    <row r="635" s="9" customFormat="1" ht="13.5" x14ac:dyDescent="0.25"/>
    <row r="636" s="9" customFormat="1" ht="13.5" x14ac:dyDescent="0.25"/>
    <row r="637" s="9" customFormat="1" ht="13.5" x14ac:dyDescent="0.25"/>
    <row r="638" s="9" customFormat="1" ht="13.5" x14ac:dyDescent="0.25"/>
    <row r="639" s="9" customFormat="1" ht="13.5" x14ac:dyDescent="0.25"/>
    <row r="640" s="9" customFormat="1" ht="13.5" x14ac:dyDescent="0.25"/>
    <row r="641" s="9" customFormat="1" ht="13.5" x14ac:dyDescent="0.25"/>
    <row r="642" s="9" customFormat="1" ht="13.5" x14ac:dyDescent="0.25"/>
    <row r="643" s="9" customFormat="1" ht="13.5" x14ac:dyDescent="0.25"/>
    <row r="644" s="9" customFormat="1" ht="13.5" x14ac:dyDescent="0.25"/>
    <row r="645" s="9" customFormat="1" ht="13.5" x14ac:dyDescent="0.25"/>
    <row r="646" s="9" customFormat="1" ht="13.5" x14ac:dyDescent="0.25"/>
    <row r="647" s="9" customFormat="1" ht="13.5" x14ac:dyDescent="0.25"/>
    <row r="648" s="9" customFormat="1" ht="13.5" x14ac:dyDescent="0.25"/>
    <row r="649" s="9" customFormat="1" ht="13.5" x14ac:dyDescent="0.25"/>
    <row r="650" s="9" customFormat="1" ht="13.5" x14ac:dyDescent="0.25"/>
  </sheetData>
  <mergeCells count="135">
    <mergeCell ref="B76:K76"/>
    <mergeCell ref="B78:K78"/>
    <mergeCell ref="C50:E50"/>
    <mergeCell ref="F49:H51"/>
    <mergeCell ref="B21:D21"/>
    <mergeCell ref="C49:E49"/>
    <mergeCell ref="E21:F21"/>
    <mergeCell ref="E22:F22"/>
    <mergeCell ref="B84:K84"/>
    <mergeCell ref="C58:K58"/>
    <mergeCell ref="J55:K55"/>
    <mergeCell ref="J56:K56"/>
    <mergeCell ref="J57:K57"/>
    <mergeCell ref="B67:K67"/>
    <mergeCell ref="B56:C56"/>
    <mergeCell ref="D56:G56"/>
    <mergeCell ref="H56:I56"/>
    <mergeCell ref="B57:C57"/>
    <mergeCell ref="D57:G57"/>
    <mergeCell ref="H57:I57"/>
    <mergeCell ref="B77:K77"/>
    <mergeCell ref="B22:D22"/>
    <mergeCell ref="B23:J23"/>
    <mergeCell ref="C24:F24"/>
    <mergeCell ref="B26:J26"/>
    <mergeCell ref="A70:K70"/>
    <mergeCell ref="B138:C138"/>
    <mergeCell ref="D138:G138"/>
    <mergeCell ref="C135:J135"/>
    <mergeCell ref="B97:F97"/>
    <mergeCell ref="B103:F103"/>
    <mergeCell ref="A73:K73"/>
    <mergeCell ref="I95:K95"/>
    <mergeCell ref="B109:F109"/>
    <mergeCell ref="B119:K119"/>
    <mergeCell ref="B120:K120"/>
    <mergeCell ref="B123:K123"/>
    <mergeCell ref="B122:F122"/>
    <mergeCell ref="B80:K80"/>
    <mergeCell ref="B110:K110"/>
    <mergeCell ref="B118:F118"/>
    <mergeCell ref="B104:K104"/>
    <mergeCell ref="B83:K83"/>
    <mergeCell ref="B87:K87"/>
    <mergeCell ref="B98:K98"/>
    <mergeCell ref="B115:F115"/>
    <mergeCell ref="B101:K101"/>
    <mergeCell ref="B111:K111"/>
    <mergeCell ref="B112:K112"/>
    <mergeCell ref="B79:K79"/>
    <mergeCell ref="B28:F28"/>
    <mergeCell ref="C48:E48"/>
    <mergeCell ref="F48:H48"/>
    <mergeCell ref="C47:K47"/>
    <mergeCell ref="I48:K48"/>
    <mergeCell ref="B47:B49"/>
    <mergeCell ref="I49:J49"/>
    <mergeCell ref="B60:F60"/>
    <mergeCell ref="H134:I134"/>
    <mergeCell ref="C134:E134"/>
    <mergeCell ref="F134:G134"/>
    <mergeCell ref="H43:K43"/>
    <mergeCell ref="B44:F44"/>
    <mergeCell ref="H44:K44"/>
    <mergeCell ref="B55:C55"/>
    <mergeCell ref="D55:G55"/>
    <mergeCell ref="H55:I55"/>
    <mergeCell ref="B71:K71"/>
    <mergeCell ref="B62:K62"/>
    <mergeCell ref="B54:F54"/>
    <mergeCell ref="B65:K65"/>
    <mergeCell ref="B68:K68"/>
    <mergeCell ref="C51:E51"/>
    <mergeCell ref="I51:K51"/>
    <mergeCell ref="C127:E127"/>
    <mergeCell ref="B116:K116"/>
    <mergeCell ref="C125:J125"/>
    <mergeCell ref="C126:E126"/>
    <mergeCell ref="F126:I126"/>
    <mergeCell ref="C133:J133"/>
    <mergeCell ref="B106:F106"/>
    <mergeCell ref="B43:F43"/>
    <mergeCell ref="F127:G127"/>
    <mergeCell ref="H127:I127"/>
    <mergeCell ref="B130:F130"/>
    <mergeCell ref="D128:J128"/>
    <mergeCell ref="B107:K107"/>
    <mergeCell ref="B61:K61"/>
    <mergeCell ref="B64:K64"/>
    <mergeCell ref="B113:K113"/>
    <mergeCell ref="B100:K100"/>
    <mergeCell ref="B99:K99"/>
    <mergeCell ref="B74:K74"/>
    <mergeCell ref="B85:K85"/>
    <mergeCell ref="B88:K88"/>
    <mergeCell ref="B90:K90"/>
    <mergeCell ref="B91:K91"/>
    <mergeCell ref="B81:K81"/>
    <mergeCell ref="B1:K7"/>
    <mergeCell ref="B37:J37"/>
    <mergeCell ref="B38:J38"/>
    <mergeCell ref="B39:J39"/>
    <mergeCell ref="B40:J40"/>
    <mergeCell ref="B46:F46"/>
    <mergeCell ref="B29:J29"/>
    <mergeCell ref="B30:J30"/>
    <mergeCell ref="B31:J31"/>
    <mergeCell ref="B32:J32"/>
    <mergeCell ref="B35:J35"/>
    <mergeCell ref="B33:J33"/>
    <mergeCell ref="B19:D19"/>
    <mergeCell ref="E19:J19"/>
    <mergeCell ref="B12:K12"/>
    <mergeCell ref="B14:C14"/>
    <mergeCell ref="E14:F14"/>
    <mergeCell ref="B16:D16"/>
    <mergeCell ref="E16:J16"/>
    <mergeCell ref="B17:D17"/>
    <mergeCell ref="E17:J17"/>
    <mergeCell ref="B18:D18"/>
    <mergeCell ref="E18:J18"/>
    <mergeCell ref="B34:J34"/>
    <mergeCell ref="B167:G167"/>
    <mergeCell ref="B171:E171"/>
    <mergeCell ref="B173:C173"/>
    <mergeCell ref="B175:C175"/>
    <mergeCell ref="B154:D154"/>
    <mergeCell ref="B156:C156"/>
    <mergeCell ref="D156:F156"/>
    <mergeCell ref="G156:I156"/>
    <mergeCell ref="B158:J158"/>
    <mergeCell ref="B159:J159"/>
    <mergeCell ref="B160:J160"/>
    <mergeCell ref="B161:J161"/>
    <mergeCell ref="B163:D163"/>
  </mergeCells>
  <printOptions horizontalCentered="1" verticalCentered="1"/>
  <pageMargins left="0.25" right="0.25" top="0.75" bottom="0.75" header="0.3" footer="0.3"/>
  <pageSetup paperSize="9" fitToHeight="0" orientation="portrait" r:id="rId1"/>
  <headerFooter scaleWithDoc="0" alignWithMargins="0"/>
  <rowBreaks count="3" manualBreakCount="3">
    <brk id="44" max="10" man="1"/>
    <brk id="96" max="16383" man="1"/>
    <brk id="147" max="1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6335-7535-4BFB-B10F-5BC79C79CE8F}">
  <dimension ref="B1:D5"/>
  <sheetViews>
    <sheetView workbookViewId="0">
      <selection activeCell="H7" sqref="H7"/>
    </sheetView>
  </sheetViews>
  <sheetFormatPr defaultRowHeight="14.5" x14ac:dyDescent="0.35"/>
  <sheetData>
    <row r="1" spans="2:4" ht="15" thickBot="1" x14ac:dyDescent="0.4"/>
    <row r="2" spans="2:4" x14ac:dyDescent="0.35">
      <c r="B2" s="48"/>
      <c r="C2" s="42"/>
      <c r="D2" s="43" t="s">
        <v>50</v>
      </c>
    </row>
    <row r="3" spans="2:4" x14ac:dyDescent="0.35">
      <c r="B3" s="49"/>
      <c r="C3" s="46"/>
      <c r="D3" s="47" t="s">
        <v>79</v>
      </c>
    </row>
    <row r="4" spans="2:4" x14ac:dyDescent="0.35">
      <c r="B4" s="50"/>
      <c r="C4" s="44"/>
      <c r="D4" s="45" t="s">
        <v>78</v>
      </c>
    </row>
    <row r="5" spans="2:4" ht="15" thickBot="1" x14ac:dyDescent="0.4">
      <c r="B5" s="70" t="s">
        <v>51</v>
      </c>
      <c r="C5" s="71"/>
      <c r="D5" s="72">
        <v>9.7500000000000003E-2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Client Info</vt:lpstr>
      <vt:lpstr>FDN_CapAPP_1-Year</vt:lpstr>
      <vt:lpstr>Sheet1</vt:lpstr>
      <vt:lpstr>'FDN_CapAPP_1-Year'!Print_Area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Lance Heynes</cp:lastModifiedBy>
  <cp:revision/>
  <cp:lastPrinted>2025-11-10T07:50:53Z</cp:lastPrinted>
  <dcterms:created xsi:type="dcterms:W3CDTF">2015-06-05T18:17:20Z</dcterms:created>
  <dcterms:modified xsi:type="dcterms:W3CDTF">2026-02-03T09:25:38Z</dcterms:modified>
  <cp:category/>
  <cp:contentStatus/>
</cp:coreProperties>
</file>